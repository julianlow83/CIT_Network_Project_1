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0"/>
  <workbookPr/>
  <xr:revisionPtr revIDLastSave="0" documentId="8_{A443E5C1-23B2-4D13-838D-80707DDD14B2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IP, VLAN Machine" sheetId="1" r:id="rId1"/>
    <sheet name="Network Addressing Table" sheetId="2" r:id="rId2"/>
    <sheet name="Device &amp; Services Register" sheetId="3" r:id="rId3"/>
    <sheet name="Sheet1" sheetId="4" r:id="rId4"/>
    <sheet name="Sheet2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" i="1" l="1"/>
  <c r="J11" i="1" s="1"/>
  <c r="U12" i="1"/>
  <c r="U13" i="1"/>
  <c r="U14" i="1"/>
  <c r="U15" i="1"/>
  <c r="U16" i="1"/>
  <c r="U17" i="1"/>
  <c r="U27" i="1"/>
  <c r="U28" i="1"/>
  <c r="U29" i="1"/>
  <c r="U30" i="1"/>
  <c r="U31" i="1"/>
  <c r="U32" i="1"/>
  <c r="U33" i="1"/>
  <c r="S12" i="1" a="1"/>
  <c r="S12" i="1"/>
  <c r="S13" i="1" a="1"/>
  <c r="S13" i="1"/>
  <c r="S14" i="1" a="1"/>
  <c r="S14" i="1"/>
  <c r="S15" i="1" a="1"/>
  <c r="S15" i="1"/>
  <c r="S16" i="1" a="1"/>
  <c r="S16" i="1"/>
  <c r="S17" i="1" a="1"/>
  <c r="S17" i="1"/>
  <c r="S27" i="1" a="1"/>
  <c r="S27" i="1"/>
  <c r="S28" i="1" a="1"/>
  <c r="S28" i="1"/>
  <c r="S29" i="1" a="1"/>
  <c r="S29" i="1"/>
  <c r="S30" i="1" a="1"/>
  <c r="S30" i="1"/>
  <c r="S31" i="1" a="1"/>
  <c r="S31" i="1"/>
  <c r="S32" i="1" a="1"/>
  <c r="S32" i="1"/>
  <c r="S33" i="1" a="1"/>
  <c r="S33" i="1"/>
  <c r="R12" i="1"/>
  <c r="R13" i="1"/>
  <c r="R14" i="1"/>
  <c r="R15" i="1"/>
  <c r="R16" i="1"/>
  <c r="R17" i="1"/>
  <c r="R27" i="1"/>
  <c r="R28" i="1"/>
  <c r="R29" i="1"/>
  <c r="R30" i="1"/>
  <c r="R31" i="1"/>
  <c r="R32" i="1"/>
  <c r="R33" i="1"/>
  <c r="AC12" i="1" a="1"/>
  <c r="AC12" i="1"/>
  <c r="AC13" i="1" a="1"/>
  <c r="AC13" i="1"/>
  <c r="AC14" i="1" a="1"/>
  <c r="AC14" i="1"/>
  <c r="AC15" i="1" a="1"/>
  <c r="AC15" i="1"/>
  <c r="AC16" i="1" a="1"/>
  <c r="AC16" i="1"/>
  <c r="AC17" i="1" a="1"/>
  <c r="AC17" i="1"/>
  <c r="AC26" i="1" a="1"/>
  <c r="AC26" i="1"/>
  <c r="AC27" i="1" a="1"/>
  <c r="AC27" i="1"/>
  <c r="AC28" i="1" a="1"/>
  <c r="AC28" i="1"/>
  <c r="AC29" i="1" a="1"/>
  <c r="AC29" i="1"/>
  <c r="AC30" i="1" a="1"/>
  <c r="AC30" i="1"/>
  <c r="AC31" i="1" a="1"/>
  <c r="AC31" i="1"/>
  <c r="AC32" i="1" a="1"/>
  <c r="AC32" i="1"/>
  <c r="AC33" i="1" a="1"/>
  <c r="AC33" i="1"/>
  <c r="AB12" i="1"/>
  <c r="AB13" i="1"/>
  <c r="AB14" i="1"/>
  <c r="AB15" i="1"/>
  <c r="AB16" i="1"/>
  <c r="AB17" i="1"/>
  <c r="AB26" i="1"/>
  <c r="AB27" i="1"/>
  <c r="AB28" i="1"/>
  <c r="AB29" i="1"/>
  <c r="AB30" i="1"/>
  <c r="AB31" i="1"/>
  <c r="AB32" i="1"/>
  <c r="AB33" i="1"/>
  <c r="AA12" i="1"/>
  <c r="AA13" i="1"/>
  <c r="AA14" i="1"/>
  <c r="AA15" i="1"/>
  <c r="AA16" i="1"/>
  <c r="AA17" i="1"/>
  <c r="AA26" i="1"/>
  <c r="AA27" i="1"/>
  <c r="AA28" i="1"/>
  <c r="AA29" i="1"/>
  <c r="AA30" i="1"/>
  <c r="AA31" i="1"/>
  <c r="AA32" i="1"/>
  <c r="AA33" i="1"/>
  <c r="Z12" i="1" a="1"/>
  <c r="Z12" i="1"/>
  <c r="Z13" i="1" a="1"/>
  <c r="Z13" i="1"/>
  <c r="Z14" i="1" a="1"/>
  <c r="Z14" i="1"/>
  <c r="Z15" i="1" a="1"/>
  <c r="Z15" i="1"/>
  <c r="Z16" i="1" a="1"/>
  <c r="Z16" i="1"/>
  <c r="Z17" i="1" a="1"/>
  <c r="Z17" i="1"/>
  <c r="Z26" i="1" a="1"/>
  <c r="Z26" i="1"/>
  <c r="Z27" i="1" a="1"/>
  <c r="Z27" i="1"/>
  <c r="Z28" i="1" a="1"/>
  <c r="Z28" i="1"/>
  <c r="Z29" i="1" a="1"/>
  <c r="Z29" i="1"/>
  <c r="Z30" i="1" a="1"/>
  <c r="Z30" i="1"/>
  <c r="Z31" i="1" a="1"/>
  <c r="Z31" i="1"/>
  <c r="Z32" i="1" a="1"/>
  <c r="Z32" i="1"/>
  <c r="Z33" i="1" a="1"/>
  <c r="Z33" i="1"/>
  <c r="Y12" i="1"/>
  <c r="Y13" i="1"/>
  <c r="Y14" i="1"/>
  <c r="Y15" i="1"/>
  <c r="Y16" i="1"/>
  <c r="Y17" i="1"/>
  <c r="Y27" i="1"/>
  <c r="Y28" i="1"/>
  <c r="Y29" i="1"/>
  <c r="Y30" i="1"/>
  <c r="Y31" i="1"/>
  <c r="Y32" i="1"/>
  <c r="Y33" i="1"/>
  <c r="X12" i="1"/>
  <c r="X13" i="1"/>
  <c r="X14" i="1"/>
  <c r="X15" i="1"/>
  <c r="X16" i="1"/>
  <c r="X17" i="1"/>
  <c r="X27" i="1"/>
  <c r="X28" i="1"/>
  <c r="X29" i="1"/>
  <c r="X30" i="1"/>
  <c r="X31" i="1"/>
  <c r="X32" i="1"/>
  <c r="X33" i="1"/>
  <c r="W12" i="1" a="1"/>
  <c r="W12" i="1"/>
  <c r="W13" i="1" a="1"/>
  <c r="W13" i="1"/>
  <c r="W14" i="1" a="1"/>
  <c r="W14" i="1"/>
  <c r="W15" i="1" a="1"/>
  <c r="W15" i="1"/>
  <c r="W16" i="1" a="1"/>
  <c r="W16" i="1"/>
  <c r="W17" i="1" a="1"/>
  <c r="W17" i="1"/>
  <c r="W27" i="1" a="1"/>
  <c r="W27" i="1"/>
  <c r="W28" i="1" a="1"/>
  <c r="W28" i="1"/>
  <c r="W29" i="1" a="1"/>
  <c r="W29" i="1"/>
  <c r="W30" i="1" a="1"/>
  <c r="W30" i="1"/>
  <c r="W31" i="1" a="1"/>
  <c r="W31" i="1"/>
  <c r="W32" i="1" a="1"/>
  <c r="W32" i="1"/>
  <c r="W33" i="1" a="1"/>
  <c r="W33" i="1"/>
  <c r="V12" i="1" a="1"/>
  <c r="V12" i="1"/>
  <c r="V13" i="1" a="1"/>
  <c r="V13" i="1"/>
  <c r="V14" i="1" a="1"/>
  <c r="V14" i="1"/>
  <c r="V15" i="1" a="1"/>
  <c r="V15" i="1"/>
  <c r="V16" i="1" a="1"/>
  <c r="V16" i="1"/>
  <c r="V17" i="1" a="1"/>
  <c r="V17" i="1"/>
  <c r="V27" i="1" a="1"/>
  <c r="V27" i="1"/>
  <c r="V28" i="1" a="1"/>
  <c r="V28" i="1"/>
  <c r="V29" i="1" a="1"/>
  <c r="V29" i="1"/>
  <c r="V30" i="1" a="1"/>
  <c r="V30" i="1"/>
  <c r="V31" i="1" a="1"/>
  <c r="V31" i="1"/>
  <c r="V32" i="1" a="1"/>
  <c r="V32" i="1"/>
  <c r="V33" i="1" a="1"/>
  <c r="V33" i="1"/>
  <c r="T12" i="1" a="1"/>
  <c r="T12" i="1"/>
  <c r="T13" i="1" a="1"/>
  <c r="T13" i="1"/>
  <c r="T14" i="1" a="1"/>
  <c r="T14" i="1"/>
  <c r="T15" i="1" a="1"/>
  <c r="T15" i="1"/>
  <c r="T16" i="1" a="1"/>
  <c r="T16" i="1"/>
  <c r="T17" i="1" a="1"/>
  <c r="T17" i="1"/>
  <c r="T27" i="1" a="1"/>
  <c r="T27" i="1"/>
  <c r="T28" i="1" a="1"/>
  <c r="T28" i="1"/>
  <c r="T29" i="1" a="1"/>
  <c r="T29" i="1"/>
  <c r="T30" i="1" a="1"/>
  <c r="T30" i="1"/>
  <c r="T31" i="1" a="1"/>
  <c r="T31" i="1"/>
  <c r="T32" i="1" a="1"/>
  <c r="T32" i="1"/>
  <c r="T33" i="1" a="1"/>
  <c r="T33" i="1"/>
  <c r="Q12" i="1"/>
  <c r="Q13" i="1"/>
  <c r="Q14" i="1"/>
  <c r="Q15" i="1"/>
  <c r="Q16" i="1"/>
  <c r="Q17" i="1"/>
  <c r="Q27" i="1"/>
  <c r="Q28" i="1"/>
  <c r="Q29" i="1"/>
  <c r="Q30" i="1"/>
  <c r="Q31" i="1"/>
  <c r="Q32" i="1"/>
  <c r="Q33" i="1"/>
  <c r="P12" i="1"/>
  <c r="P13" i="1"/>
  <c r="P14" i="1"/>
  <c r="P15" i="1"/>
  <c r="P16" i="1"/>
  <c r="P17" i="1"/>
  <c r="P27" i="1"/>
  <c r="P28" i="1"/>
  <c r="P29" i="1"/>
  <c r="P30" i="1"/>
  <c r="P31" i="1"/>
  <c r="P32" i="1"/>
  <c r="P33" i="1"/>
  <c r="O12" i="1"/>
  <c r="O13" i="1"/>
  <c r="O14" i="1"/>
  <c r="O15" i="1"/>
  <c r="O16" i="1"/>
  <c r="O17" i="1"/>
  <c r="O27" i="1"/>
  <c r="O28" i="1"/>
  <c r="O29" i="1"/>
  <c r="O30" i="1"/>
  <c r="O31" i="1"/>
  <c r="O32" i="1"/>
  <c r="O33" i="1"/>
  <c r="N12" i="1"/>
  <c r="N13" i="1"/>
  <c r="N14" i="1"/>
  <c r="N15" i="1"/>
  <c r="N16" i="1"/>
  <c r="N17" i="1"/>
  <c r="N27" i="1"/>
  <c r="N28" i="1"/>
  <c r="N29" i="1"/>
  <c r="N30" i="1"/>
  <c r="N31" i="1"/>
  <c r="N32" i="1"/>
  <c r="N33" i="1"/>
  <c r="M12" i="1"/>
  <c r="M13" i="1"/>
  <c r="M14" i="1"/>
  <c r="M15" i="1"/>
  <c r="M16" i="1"/>
  <c r="M17" i="1"/>
  <c r="M27" i="1"/>
  <c r="M28" i="1"/>
  <c r="M29" i="1"/>
  <c r="M30" i="1"/>
  <c r="M31" i="1"/>
  <c r="M32" i="1"/>
  <c r="M33" i="1"/>
  <c r="L12" i="1"/>
  <c r="L13" i="1"/>
  <c r="L14" i="1"/>
  <c r="L15" i="1"/>
  <c r="L16" i="1"/>
  <c r="L17" i="1"/>
  <c r="L27" i="1"/>
  <c r="L28" i="1"/>
  <c r="L29" i="1"/>
  <c r="L30" i="1"/>
  <c r="L31" i="1"/>
  <c r="L32" i="1"/>
  <c r="L33" i="1"/>
  <c r="K12" i="1"/>
  <c r="K13" i="1"/>
  <c r="K14" i="1"/>
  <c r="K15" i="1"/>
  <c r="K16" i="1"/>
  <c r="K17" i="1"/>
  <c r="K27" i="1"/>
  <c r="K28" i="1"/>
  <c r="K29" i="1"/>
  <c r="K30" i="1"/>
  <c r="K31" i="1"/>
  <c r="K32" i="1"/>
  <c r="K33" i="1"/>
  <c r="H5" i="1"/>
  <c r="J5" i="1"/>
  <c r="K5" i="1" s="1"/>
  <c r="H6" i="1"/>
  <c r="J6" i="1"/>
  <c r="K6" i="1" s="1"/>
  <c r="H7" i="1"/>
  <c r="J7" i="1"/>
  <c r="K7" i="1" s="1"/>
  <c r="H8" i="1"/>
  <c r="J8" i="1"/>
  <c r="K8" i="1" s="1"/>
  <c r="H9" i="1"/>
  <c r="J9" i="1"/>
  <c r="K9" i="1" s="1"/>
  <c r="H10" i="1"/>
  <c r="J10" i="1"/>
  <c r="K10" i="1" s="1"/>
  <c r="K11" i="1"/>
  <c r="H12" i="1"/>
  <c r="J12" i="1"/>
  <c r="H13" i="1"/>
  <c r="J13" i="1"/>
  <c r="H14" i="1"/>
  <c r="J14" i="1"/>
  <c r="H15" i="1"/>
  <c r="J15" i="1"/>
  <c r="H16" i="1"/>
  <c r="J16" i="1"/>
  <c r="H17" i="1"/>
  <c r="J17" i="1"/>
  <c r="H19" i="1"/>
  <c r="J19" i="1"/>
  <c r="K19" i="1" s="1"/>
  <c r="H20" i="1"/>
  <c r="J20" i="1"/>
  <c r="K20" i="1" s="1"/>
  <c r="H21" i="1"/>
  <c r="J21" i="1"/>
  <c r="K21" i="1" s="1"/>
  <c r="H22" i="1"/>
  <c r="J22" i="1"/>
  <c r="K22" i="1" s="1"/>
  <c r="H23" i="1"/>
  <c r="J23" i="1"/>
  <c r="K23" i="1" s="1"/>
  <c r="H24" i="1"/>
  <c r="J24" i="1"/>
  <c r="K24" i="1" s="1"/>
  <c r="H25" i="1"/>
  <c r="J25" i="1"/>
  <c r="K25" i="1" s="1"/>
  <c r="H26" i="1"/>
  <c r="J26" i="1"/>
  <c r="K26" i="1" s="1"/>
  <c r="H27" i="1"/>
  <c r="J27" i="1"/>
  <c r="H28" i="1"/>
  <c r="J28" i="1"/>
  <c r="H29" i="1"/>
  <c r="J29" i="1"/>
  <c r="H30" i="1"/>
  <c r="J30" i="1"/>
  <c r="H31" i="1"/>
  <c r="J31" i="1"/>
  <c r="H32" i="1"/>
  <c r="J32" i="1"/>
  <c r="H33" i="1"/>
  <c r="J33" i="1"/>
  <c r="H4" i="1"/>
  <c r="J4" i="1" s="1"/>
  <c r="K4" i="1" s="1"/>
  <c r="P26" i="1" l="1"/>
  <c r="O26" i="1"/>
  <c r="M26" i="1"/>
  <c r="N26" i="1" s="1"/>
  <c r="L26" i="1"/>
  <c r="P25" i="1"/>
  <c r="O25" i="1"/>
  <c r="M25" i="1"/>
  <c r="L25" i="1"/>
  <c r="P24" i="1"/>
  <c r="O24" i="1"/>
  <c r="M24" i="1"/>
  <c r="L24" i="1"/>
  <c r="P23" i="1"/>
  <c r="O23" i="1"/>
  <c r="M23" i="1"/>
  <c r="L23" i="1"/>
  <c r="P22" i="1"/>
  <c r="O22" i="1"/>
  <c r="M22" i="1"/>
  <c r="L22" i="1"/>
  <c r="P21" i="1"/>
  <c r="O21" i="1"/>
  <c r="M21" i="1"/>
  <c r="L21" i="1"/>
  <c r="P20" i="1"/>
  <c r="O20" i="1"/>
  <c r="M20" i="1"/>
  <c r="L20" i="1"/>
  <c r="P11" i="1"/>
  <c r="O11" i="1"/>
  <c r="M11" i="1"/>
  <c r="L11" i="1"/>
  <c r="P10" i="1"/>
  <c r="O10" i="1"/>
  <c r="M10" i="1"/>
  <c r="L10" i="1"/>
  <c r="P9" i="1"/>
  <c r="O9" i="1"/>
  <c r="M9" i="1"/>
  <c r="L9" i="1"/>
  <c r="P7" i="1"/>
  <c r="O7" i="1"/>
  <c r="M7" i="1"/>
  <c r="L7" i="1"/>
  <c r="P6" i="1"/>
  <c r="O6" i="1"/>
  <c r="M6" i="1"/>
  <c r="L6" i="1"/>
  <c r="P5" i="1"/>
  <c r="O5" i="1"/>
  <c r="M5" i="1"/>
  <c r="L5" i="1"/>
  <c r="P19" i="1"/>
  <c r="O19" i="1"/>
  <c r="M19" i="1"/>
  <c r="L19" i="1"/>
  <c r="P8" i="1"/>
  <c r="O8" i="1"/>
  <c r="M8" i="1"/>
  <c r="L8" i="1"/>
  <c r="P4" i="1"/>
  <c r="O4" i="1"/>
  <c r="R4" i="1" s="1"/>
  <c r="M4" i="1"/>
  <c r="L4" i="1"/>
  <c r="Q8" i="1" l="1"/>
  <c r="R8" i="1"/>
  <c r="Q19" i="1"/>
  <c r="R19" i="1"/>
  <c r="Q5" i="1"/>
  <c r="R5" i="1"/>
  <c r="Q6" i="1"/>
  <c r="R6" i="1"/>
  <c r="Q7" i="1"/>
  <c r="R7" i="1"/>
  <c r="Q9" i="1"/>
  <c r="R9" i="1"/>
  <c r="Q10" i="1"/>
  <c r="R10" i="1"/>
  <c r="Q11" i="1"/>
  <c r="R11" i="1"/>
  <c r="S11" i="1" s="1" a="1"/>
  <c r="S11" i="1" s="1"/>
  <c r="U11" i="1" s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S26" i="1" s="1" a="1"/>
  <c r="S26" i="1" s="1"/>
  <c r="U26" i="1" s="1"/>
  <c r="N20" i="1"/>
  <c r="AB20" i="1"/>
  <c r="AB21" i="1"/>
  <c r="N21" i="1"/>
  <c r="AB22" i="1"/>
  <c r="N22" i="1"/>
  <c r="AB23" i="1"/>
  <c r="N23" i="1"/>
  <c r="AB24" i="1"/>
  <c r="N24" i="1"/>
  <c r="AB25" i="1"/>
  <c r="N25" i="1"/>
  <c r="AB11" i="1"/>
  <c r="N11" i="1"/>
  <c r="AB10" i="1"/>
  <c r="N10" i="1"/>
  <c r="AB9" i="1"/>
  <c r="N9" i="1"/>
  <c r="AB7" i="1"/>
  <c r="N7" i="1"/>
  <c r="AB6" i="1"/>
  <c r="N6" i="1"/>
  <c r="AB5" i="1"/>
  <c r="N5" i="1"/>
  <c r="AB19" i="1"/>
  <c r="N19" i="1"/>
  <c r="AB8" i="1"/>
  <c r="N8" i="1"/>
  <c r="N4" i="1"/>
  <c r="AB4" i="1"/>
  <c r="Q4" i="1"/>
  <c r="S25" i="1" l="1" a="1"/>
  <c r="S25" i="1" s="1"/>
  <c r="U25" i="1" s="1"/>
  <c r="S24" i="1" a="1"/>
  <c r="S24" i="1" s="1"/>
  <c r="U24" i="1" s="1"/>
  <c r="S23" i="1" a="1"/>
  <c r="S23" i="1" s="1"/>
  <c r="U23" i="1" s="1"/>
  <c r="S22" i="1" a="1"/>
  <c r="S22" i="1" s="1"/>
  <c r="U22" i="1" s="1"/>
  <c r="S21" i="1" a="1"/>
  <c r="S21" i="1" s="1"/>
  <c r="U21" i="1" s="1"/>
  <c r="S20" i="1" a="1"/>
  <c r="S20" i="1" s="1"/>
  <c r="U20" i="1" s="1"/>
  <c r="S10" i="1" a="1"/>
  <c r="S10" i="1" s="1"/>
  <c r="U10" i="1" s="1"/>
  <c r="S9" i="1" a="1"/>
  <c r="S9" i="1" s="1"/>
  <c r="U9" i="1" s="1"/>
  <c r="S7" i="1" a="1"/>
  <c r="S7" i="1" s="1"/>
  <c r="U7" i="1" s="1"/>
  <c r="S6" i="1" a="1"/>
  <c r="S6" i="1" s="1"/>
  <c r="U6" i="1" s="1"/>
  <c r="S5" i="1" a="1"/>
  <c r="S5" i="1" s="1"/>
  <c r="U5" i="1" s="1"/>
  <c r="S4" i="1" a="1"/>
  <c r="S4" i="1" s="1"/>
  <c r="S19" i="1" a="1"/>
  <c r="S19" i="1" s="1"/>
  <c r="U19" i="1" s="1"/>
  <c r="S8" i="1" a="1"/>
  <c r="S8" i="1" s="1"/>
  <c r="U8" i="1" s="1"/>
  <c r="Y5" i="1"/>
  <c r="V5" i="1" a="1"/>
  <c r="V5" i="1" s="1"/>
  <c r="T5" i="1" a="1"/>
  <c r="T5" i="1" s="1"/>
  <c r="W5" i="1" s="1" a="1"/>
  <c r="W5" i="1" s="1"/>
  <c r="AA5" i="1" s="1"/>
  <c r="U4" i="1" l="1"/>
  <c r="V4" i="1" a="1"/>
  <c r="V4" i="1" s="1"/>
  <c r="Y4" i="1"/>
  <c r="T4" i="1" a="1"/>
  <c r="T4" i="1" s="1"/>
  <c r="W4" i="1" s="1" a="1"/>
  <c r="W4" i="1" s="1"/>
  <c r="AA4" i="1" s="1"/>
  <c r="Z5" i="1" a="1"/>
  <c r="Z5" i="1" s="1"/>
  <c r="AC5" i="1" s="1" a="1"/>
  <c r="AC5" i="1" s="1"/>
  <c r="X5" i="1"/>
  <c r="Y6" i="1"/>
  <c r="V6" i="1" a="1"/>
  <c r="V6" i="1" s="1"/>
  <c r="T6" i="1" a="1"/>
  <c r="T6" i="1" s="1"/>
  <c r="W6" i="1" s="1" a="1"/>
  <c r="W6" i="1" s="1"/>
  <c r="AA6" i="1" s="1"/>
  <c r="Z4" i="1" l="1" a="1"/>
  <c r="Z4" i="1" s="1"/>
  <c r="AC4" i="1" s="1" a="1"/>
  <c r="AC4" i="1" s="1"/>
  <c r="X4" i="1"/>
  <c r="Z6" i="1" a="1"/>
  <c r="Z6" i="1" s="1"/>
  <c r="AC6" i="1" s="1" a="1"/>
  <c r="AC6" i="1" s="1"/>
  <c r="X6" i="1"/>
  <c r="Y7" i="1"/>
  <c r="V7" i="1" a="1"/>
  <c r="V7" i="1" s="1"/>
  <c r="T7" i="1" a="1"/>
  <c r="T7" i="1" s="1"/>
  <c r="W7" i="1" s="1" a="1"/>
  <c r="W7" i="1" s="1"/>
  <c r="AA7" i="1" s="1"/>
  <c r="Z7" i="1" l="1" a="1"/>
  <c r="Z7" i="1" s="1"/>
  <c r="AC7" i="1" s="1" a="1"/>
  <c r="AC7" i="1" s="1"/>
  <c r="X7" i="1"/>
  <c r="Y8" i="1"/>
  <c r="V8" i="1" a="1"/>
  <c r="V8" i="1" s="1"/>
  <c r="T8" i="1" a="1"/>
  <c r="T8" i="1" s="1"/>
  <c r="W8" i="1" s="1" a="1"/>
  <c r="W8" i="1" s="1"/>
  <c r="AA8" i="1" s="1"/>
  <c r="Z8" i="1" l="1" a="1"/>
  <c r="Z8" i="1" s="1"/>
  <c r="AC8" i="1" s="1" a="1"/>
  <c r="AC8" i="1" s="1"/>
  <c r="X8" i="1"/>
  <c r="Y9" i="1"/>
  <c r="V9" i="1" a="1"/>
  <c r="V9" i="1" s="1"/>
  <c r="T9" i="1" a="1"/>
  <c r="T9" i="1" s="1"/>
  <c r="W9" i="1" s="1" a="1"/>
  <c r="W9" i="1" s="1"/>
  <c r="AA9" i="1" s="1"/>
  <c r="Z9" i="1" l="1" a="1"/>
  <c r="Z9" i="1" s="1"/>
  <c r="AC9" i="1" s="1" a="1"/>
  <c r="AC9" i="1" s="1"/>
  <c r="X9" i="1"/>
  <c r="Y10" i="1"/>
  <c r="V10" i="1" a="1"/>
  <c r="V10" i="1" s="1"/>
  <c r="T10" i="1" a="1"/>
  <c r="T10" i="1" s="1"/>
  <c r="W10" i="1" s="1" a="1"/>
  <c r="W10" i="1" s="1"/>
  <c r="AA10" i="1" s="1"/>
  <c r="Y21" i="1" l="1"/>
  <c r="V21" i="1" a="1"/>
  <c r="V21" i="1" s="1"/>
  <c r="T21" i="1" a="1"/>
  <c r="T21" i="1" s="1"/>
  <c r="W21" i="1" s="1" a="1"/>
  <c r="W21" i="1" s="1"/>
  <c r="AA21" i="1" s="1"/>
  <c r="Y20" i="1"/>
  <c r="V20" i="1" a="1"/>
  <c r="V20" i="1" s="1"/>
  <c r="T20" i="1" a="1"/>
  <c r="T20" i="1" s="1"/>
  <c r="W20" i="1" s="1" a="1"/>
  <c r="W20" i="1" s="1"/>
  <c r="AA20" i="1" s="1"/>
  <c r="Y19" i="1"/>
  <c r="V19" i="1" a="1"/>
  <c r="V19" i="1" s="1"/>
  <c r="T19" i="1" a="1"/>
  <c r="T19" i="1" s="1"/>
  <c r="W19" i="1" s="1" a="1"/>
  <c r="W19" i="1" s="1"/>
  <c r="AA19" i="1" s="1"/>
  <c r="Z10" i="1" a="1"/>
  <c r="Z10" i="1" s="1"/>
  <c r="AC10" i="1" s="1" a="1"/>
  <c r="AC10" i="1" s="1"/>
  <c r="X10" i="1"/>
  <c r="Y11" i="1"/>
  <c r="V11" i="1" a="1"/>
  <c r="V11" i="1" s="1"/>
  <c r="T11" i="1" a="1"/>
  <c r="T11" i="1" s="1"/>
  <c r="W11" i="1" s="1" a="1"/>
  <c r="W11" i="1" s="1"/>
  <c r="AA11" i="1" s="1"/>
  <c r="X20" i="1" l="1"/>
  <c r="Z20" i="1" a="1"/>
  <c r="Z20" i="1" s="1"/>
  <c r="AC20" i="1" s="1" a="1"/>
  <c r="AC20" i="1" s="1"/>
  <c r="Y22" i="1"/>
  <c r="V22" i="1" a="1"/>
  <c r="V22" i="1" s="1"/>
  <c r="T22" i="1" a="1"/>
  <c r="T22" i="1" s="1"/>
  <c r="W22" i="1" s="1" a="1"/>
  <c r="W22" i="1" s="1"/>
  <c r="AA22" i="1" s="1"/>
  <c r="Z21" i="1" a="1"/>
  <c r="Z21" i="1" s="1"/>
  <c r="AC21" i="1" s="1" a="1"/>
  <c r="AC21" i="1" s="1"/>
  <c r="X21" i="1"/>
  <c r="Z19" i="1" a="1"/>
  <c r="Z19" i="1" s="1"/>
  <c r="AC19" i="1" s="1" a="1"/>
  <c r="AC19" i="1" s="1"/>
  <c r="X19" i="1"/>
  <c r="Z11" i="1" a="1"/>
  <c r="Z11" i="1" s="1"/>
  <c r="AC11" i="1" s="1" a="1"/>
  <c r="AC11" i="1" s="1"/>
  <c r="X11" i="1"/>
  <c r="Y23" i="1" l="1"/>
  <c r="V23" i="1" a="1"/>
  <c r="V23" i="1" s="1"/>
  <c r="T23" i="1" a="1"/>
  <c r="T23" i="1" s="1"/>
  <c r="W23" i="1" s="1" a="1"/>
  <c r="W23" i="1" s="1"/>
  <c r="AA23" i="1" s="1"/>
  <c r="Z22" i="1" a="1"/>
  <c r="Z22" i="1" s="1"/>
  <c r="AC22" i="1" s="1" a="1"/>
  <c r="AC22" i="1" s="1"/>
  <c r="X22" i="1"/>
  <c r="Y24" i="1" l="1"/>
  <c r="V24" i="1" a="1"/>
  <c r="V24" i="1" s="1"/>
  <c r="T24" i="1" a="1"/>
  <c r="T24" i="1" s="1"/>
  <c r="W24" i="1" s="1" a="1"/>
  <c r="W24" i="1" s="1"/>
  <c r="AA24" i="1" s="1"/>
  <c r="Z23" i="1" a="1"/>
  <c r="Z23" i="1" s="1"/>
  <c r="AC23" i="1" s="1" a="1"/>
  <c r="AC23" i="1" s="1"/>
  <c r="X23" i="1"/>
  <c r="Y26" i="1" l="1"/>
  <c r="V26" i="1" a="1"/>
  <c r="V26" i="1" s="1"/>
  <c r="X26" i="1" s="1"/>
  <c r="T26" i="1" a="1"/>
  <c r="T26" i="1" s="1"/>
  <c r="W26" i="1" s="1" a="1"/>
  <c r="W26" i="1" s="1"/>
  <c r="Y25" i="1"/>
  <c r="V25" i="1" a="1"/>
  <c r="V25" i="1" s="1"/>
  <c r="T25" i="1" a="1"/>
  <c r="T25" i="1" s="1"/>
  <c r="W25" i="1" s="1" a="1"/>
  <c r="W25" i="1" s="1"/>
  <c r="AA25" i="1" s="1"/>
  <c r="Z24" i="1" a="1"/>
  <c r="Z24" i="1" s="1"/>
  <c r="AC24" i="1" s="1" a="1"/>
  <c r="AC24" i="1" s="1"/>
  <c r="X24" i="1"/>
  <c r="Z25" i="1" l="1" a="1"/>
  <c r="Z25" i="1" s="1"/>
  <c r="AC25" i="1" s="1" a="1"/>
  <c r="AC25" i="1" s="1"/>
  <c r="X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Cooper, Andrew [Student]</author>
    <author>tc={0CB91E3F-B45F-413F-A082-E27478570A00}</author>
  </authors>
  <commentList>
    <comment ref="D11" authorId="0" shapeId="0" xr:uid="{7EC81BBF-B91E-45BD-9248-95F070382EF7}">
      <text>
        <r>
          <rPr>
            <sz val="11"/>
            <color theme="1"/>
            <rFont val="Aptos Narrow"/>
            <family val="2"/>
            <scheme val="minor"/>
          </rPr>
          <t>Cooper, Andrew [Student]:
Management VLAN sizing TBC, confirm whether addressing should reflect only prototype hardware or the theoretical production network.</t>
        </r>
      </text>
    </comment>
    <comment ref="D26" authorId="0" shapeId="0" xr:uid="{593C4492-797D-4C33-B731-9737C174609E}">
      <text>
        <r>
          <rPr>
            <sz val="11"/>
            <color theme="1"/>
            <rFont val="Aptos Narrow"/>
            <family val="2"/>
            <scheme val="minor"/>
          </rPr>
          <t>Cooper, Andrew [Student]:
Management VLAN sizing TBC, confirm whether addressing should reflect only prototype hardware or the theoretical production network.</t>
        </r>
      </text>
    </comment>
    <comment ref="K42" authorId="1" shapeId="0" xr:uid="{0CB91E3F-B45F-413F-A082-E27478570A00}">
      <text>
        <t>[Threaded comment]
Your version of Excel allows you to read this threaded comment; however, any edits to it will get removed if the file is opened in a newer version of Excel. Learn more: https://go.microsoft.com/fwlink/?linkid=870924
Comment:
    @Cooper, Andrew [Student] @Cook, Matthew [Student] Maybe a distinct addressing scheme for this one (192,172) etc so it stands out if we need to troubleshoot? But its up to you guys. I used 172.xxx.xxx.xxx/30 for the protoype.
Reply:
    @Low, Julian [Student] I think its different enough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<sst xmlns="http://schemas.openxmlformats.org/spreadsheetml/2006/main" count="811" uniqueCount="315">
  <si>
    <t>Cooper's Magical IP Addressing Machine</t>
  </si>
  <si>
    <t>VLAN ID</t>
  </si>
  <si>
    <t>VLAN / Network</t>
  </si>
  <si>
    <t>Site</t>
  </si>
  <si>
    <t>Purpose</t>
  </si>
  <si>
    <t>Allocate Subnet?</t>
  </si>
  <si>
    <t>DHCP?</t>
  </si>
  <si>
    <t>Current Hosts</t>
  </si>
  <si>
    <t>25% Growth</t>
  </si>
  <si>
    <t>DHCP Reserved Addresses</t>
  </si>
  <si>
    <t>Required Hosts</t>
  </si>
  <si>
    <t>Prefix</t>
  </si>
  <si>
    <t>CIDR</t>
  </si>
  <si>
    <t>Usable Hosts</t>
  </si>
  <si>
    <t>Spare Hosts</t>
  </si>
  <si>
    <t>Total Addresses</t>
  </si>
  <si>
    <t>Subnet Mask</t>
  </si>
  <si>
    <t>Block Size</t>
  </si>
  <si>
    <t>VLSM Order</t>
  </si>
  <si>
    <t>Network Address</t>
  </si>
  <si>
    <t>Broadcast Address</t>
  </si>
  <si>
    <t>Subnet Start</t>
  </si>
  <si>
    <t>First Usable Host</t>
  </si>
  <si>
    <t>Last Usable Host</t>
  </si>
  <si>
    <t>Default Gateway</t>
  </si>
  <si>
    <t>Network/CIDR</t>
  </si>
  <si>
    <t>DHCP Start</t>
  </si>
  <si>
    <t>DHCP End</t>
  </si>
  <si>
    <t>DHCP Pool Size</t>
  </si>
  <si>
    <t>DHCP Excluded Range</t>
  </si>
  <si>
    <t>SYDNEY (SYD) – VLAN &amp; VLSM ADDRESSING</t>
  </si>
  <si>
    <t>STAFF</t>
  </si>
  <si>
    <t>SYD</t>
  </si>
  <si>
    <t>Staff Endpoints</t>
  </si>
  <si>
    <t>Yes</t>
  </si>
  <si>
    <t>SERVER-INFRA</t>
  </si>
  <si>
    <t>Servers &amp; Infrastructure</t>
  </si>
  <si>
    <t>No</t>
  </si>
  <si>
    <t>GUEST</t>
  </si>
  <si>
    <t>Guest Devices</t>
  </si>
  <si>
    <t>RESTRICTED</t>
  </si>
  <si>
    <t>Restricted Endpoints</t>
  </si>
  <si>
    <t>DEVICES</t>
  </si>
  <si>
    <t>Printers / IoT / devices</t>
  </si>
  <si>
    <t>ITADMIN</t>
  </si>
  <si>
    <t>IT Admin Endpoints</t>
  </si>
  <si>
    <t>EXEC</t>
  </si>
  <si>
    <t>Executive Endpoints</t>
  </si>
  <si>
    <t>MANAGEMENT</t>
  </si>
  <si>
    <t>Network Infrastruture</t>
  </si>
  <si>
    <t>NATIVE</t>
  </si>
  <si>
    <t>Unused Native VLAN</t>
  </si>
  <si>
    <t>BLACKHOLE</t>
  </si>
  <si>
    <t>Unused ports VLAN</t>
  </si>
  <si>
    <t>CANBERRA (CBR) – VLAN &amp; VLSM ADDRESSING</t>
  </si>
  <si>
    <t>CBR</t>
  </si>
  <si>
    <t>IT-ADMIN</t>
  </si>
  <si>
    <t>ROUTED TRANSIT &amp; WAN LINKS</t>
  </si>
  <si>
    <t>SIte</t>
  </si>
  <si>
    <t>Link</t>
  </si>
  <si>
    <t>Link Type</t>
  </si>
  <si>
    <t xml:space="preserve">Endpoint A </t>
  </si>
  <si>
    <t>Endpoint A  IP</t>
  </si>
  <si>
    <t>Endpoint B</t>
  </si>
  <si>
    <t>Endpoint B IP</t>
  </si>
  <si>
    <t>Notes</t>
  </si>
  <si>
    <t>SYD-SW1 - SYD-GW</t>
  </si>
  <si>
    <t>L3 P2P Transit</t>
  </si>
  <si>
    <t>10.10.15.252/30</t>
  </si>
  <si>
    <t>SYD-SW1</t>
  </si>
  <si>
    <t>10.10.15.253</t>
  </si>
  <si>
    <t>SYD-GW</t>
  </si>
  <si>
    <t>10.10.15.254</t>
  </si>
  <si>
    <t>Layer-3 point-to-point routed link. /30 reserved from the top end of the site’s /20 address block to keep transit addressing separate from VLSM allocations growing upward from the start of the block.</t>
  </si>
  <si>
    <t>SYD-GW - ISP</t>
  </si>
  <si>
    <t>WAN</t>
  </si>
  <si>
    <t>51.41.77.4/30</t>
  </si>
  <si>
    <t>ISP</t>
  </si>
  <si>
    <t>WAN subnet</t>
  </si>
  <si>
    <t>CBR-SW1 - CBR-GW</t>
  </si>
  <si>
    <t>10.20.15.252/30</t>
  </si>
  <si>
    <t>CBR-SW1</t>
  </si>
  <si>
    <t>10.20.15.253</t>
  </si>
  <si>
    <t>CBR-GW</t>
  </si>
  <si>
    <t>10.20.15.254</t>
  </si>
  <si>
    <t>CBR-GW - ISP</t>
  </si>
  <si>
    <t>209.85.143.68/30</t>
  </si>
  <si>
    <t>VPN/Tunnel0/GRE over IPsec</t>
  </si>
  <si>
    <t>Tunnel0</t>
  </si>
  <si>
    <t>GRE over IPsec</t>
  </si>
  <si>
    <t>10.255.255.0/30</t>
  </si>
  <si>
    <t>CBR-GW Tunnel0</t>
  </si>
  <si>
    <t>10.255.255.2</t>
  </si>
  <si>
    <t>SYD-GW Tunnel0</t>
  </si>
  <si>
    <t>10.255.255.1</t>
  </si>
  <si>
    <t>Logical GRE tunnel protected by IPsec between SYD-GW and CBR-GW</t>
  </si>
  <si>
    <t>Device</t>
  </si>
  <si>
    <t xml:space="preserve">Interface </t>
  </si>
  <si>
    <t xml:space="preserve">Etherchannel Interface </t>
  </si>
  <si>
    <t>Interface Mode</t>
  </si>
  <si>
    <t>IP Address</t>
  </si>
  <si>
    <t>Subnetmask</t>
  </si>
  <si>
    <t>VLAN</t>
  </si>
  <si>
    <t>Linked Connection</t>
  </si>
  <si>
    <t>Protocal</t>
  </si>
  <si>
    <t>G0/0/2</t>
  </si>
  <si>
    <t>-</t>
  </si>
  <si>
    <t>51.41.77.6</t>
  </si>
  <si>
    <t>51.41.77.4</t>
  </si>
  <si>
    <t>255.255.255.252</t>
  </si>
  <si>
    <t>/30</t>
  </si>
  <si>
    <t>ISP G0/0/2</t>
  </si>
  <si>
    <t>G0/0/0-1</t>
  </si>
  <si>
    <t>port-channel 2</t>
  </si>
  <si>
    <t>Routed EC Member</t>
  </si>
  <si>
    <t>LACP (Active)</t>
  </si>
  <si>
    <t>P2P EtherChannel members</t>
  </si>
  <si>
    <t>Port-channel 2</t>
  </si>
  <si>
    <t>Routed</t>
  </si>
  <si>
    <t>10.10.15.252</t>
  </si>
  <si>
    <t>SYD-SW1 Port-channel2</t>
  </si>
  <si>
    <t>LACP</t>
  </si>
  <si>
    <t>P2P Transit connection</t>
  </si>
  <si>
    <t>10.255.255.0</t>
  </si>
  <si>
    <t>VPN/Dynamic Routing Tunnel</t>
  </si>
  <si>
    <t>G1/0/1-2</t>
  </si>
  <si>
    <t>SYD-GW G0/0/0-1</t>
  </si>
  <si>
    <t>P2P Transite connection</t>
  </si>
  <si>
    <t>G1/0/3-4</t>
  </si>
  <si>
    <t>port-channel 1</t>
  </si>
  <si>
    <t>Switched EC Member</t>
  </si>
  <si>
    <t>SYD-SW2</t>
  </si>
  <si>
    <t>Trunk/EtherChannel between SYD-SW1 &amp; SYD-SW2</t>
  </si>
  <si>
    <t>TRUNK</t>
  </si>
  <si>
    <t>SYD-SW2 G0/0/1-2</t>
  </si>
  <si>
    <t>G1/0/5</t>
  </si>
  <si>
    <t>Access</t>
  </si>
  <si>
    <t>T800-DC/NPS &amp; T1000-Monitoring and testing Server</t>
  </si>
  <si>
    <t>Server access port</t>
  </si>
  <si>
    <t>VLAN10</t>
  </si>
  <si>
    <t>SVI</t>
  </si>
  <si>
    <t>10.10.0.1</t>
  </si>
  <si>
    <t>10.10.0.0</t>
  </si>
  <si>
    <t>255.255.252.0</t>
  </si>
  <si>
    <t>/22</t>
  </si>
  <si>
    <t>STAFF Gateway</t>
  </si>
  <si>
    <t>VLAN20</t>
  </si>
  <si>
    <t>10.10.4.1</t>
  </si>
  <si>
    <t>10.10.4.0</t>
  </si>
  <si>
    <t>255.255.255.128</t>
  </si>
  <si>
    <t>/25</t>
  </si>
  <si>
    <t>SERVER -INFRA Gateway</t>
  </si>
  <si>
    <t>VLAN30</t>
  </si>
  <si>
    <t>10.10.4.129</t>
  </si>
  <si>
    <t>10.10.4.128</t>
  </si>
  <si>
    <t>GUEST Gateway</t>
  </si>
  <si>
    <t>VLAN40</t>
  </si>
  <si>
    <t>10.10.5.1</t>
  </si>
  <si>
    <t>10.10.5.0</t>
  </si>
  <si>
    <t>RESTRICTED Gateway</t>
  </si>
  <si>
    <t>VLAN50</t>
  </si>
  <si>
    <t>10.10.5.129</t>
  </si>
  <si>
    <t>10.10.5.128</t>
  </si>
  <si>
    <t>255.255.255.192</t>
  </si>
  <si>
    <t>/26</t>
  </si>
  <si>
    <t>DEVICES Gateway</t>
  </si>
  <si>
    <t>VLAN60</t>
  </si>
  <si>
    <t>10.10.5.193</t>
  </si>
  <si>
    <t>10.10.5.192</t>
  </si>
  <si>
    <t>ITADMIN Gateway</t>
  </si>
  <si>
    <t>VLAN70</t>
  </si>
  <si>
    <t>10.10.6.1</t>
  </si>
  <si>
    <t>10.10.6.0</t>
  </si>
  <si>
    <t>EXEC Gateway</t>
  </si>
  <si>
    <t>VLAN99</t>
  </si>
  <si>
    <t>10.10.6.65</t>
  </si>
  <si>
    <t>10.10.6.64</t>
  </si>
  <si>
    <t>255.255.255.248</t>
  </si>
  <si>
    <t>/29</t>
  </si>
  <si>
    <t>MANAGEMENT Gateway</t>
  </si>
  <si>
    <t>G1/0/0-1</t>
  </si>
  <si>
    <t>SYD-SW2 G0/0/3-4</t>
  </si>
  <si>
    <t>WS-SYD</t>
  </si>
  <si>
    <t>802.1X</t>
  </si>
  <si>
    <t>STAFF workstation access port</t>
  </si>
  <si>
    <t>10.10.6.66</t>
  </si>
  <si>
    <t>Switch Managment</t>
  </si>
  <si>
    <t>Cyberdyne_T800 Server DC/NSP</t>
  </si>
  <si>
    <t>Ethernet</t>
  </si>
  <si>
    <t>Endpoint</t>
  </si>
  <si>
    <t>10.10.4.10</t>
  </si>
  <si>
    <t>SYD-SW1 G0/0/4</t>
  </si>
  <si>
    <t>DC / DNS / NPS Server</t>
  </si>
  <si>
    <t>T100-Monitoring</t>
  </si>
  <si>
    <t>10.10.4.20</t>
  </si>
  <si>
    <t>SYD-SW1 G0/0/5</t>
  </si>
  <si>
    <t>Hosting Libre NMS and Webhost for testing program</t>
  </si>
  <si>
    <t>DHCP</t>
  </si>
  <si>
    <t>SYD-SW2 G0/0/3</t>
  </si>
  <si>
    <t>STAFF Workstation</t>
  </si>
  <si>
    <t>209.85.143.70</t>
  </si>
  <si>
    <t>209.85.143.68</t>
  </si>
  <si>
    <t>ISP G0/0/3</t>
  </si>
  <si>
    <t>Port-channel 1</t>
  </si>
  <si>
    <t>10.20.15.252</t>
  </si>
  <si>
    <t>CBR-SW1 Port-channel 1</t>
  </si>
  <si>
    <t>CBR-GW Port-channel 1</t>
  </si>
  <si>
    <t>G1/0/3</t>
  </si>
  <si>
    <t>WS-CBR</t>
  </si>
  <si>
    <t>Port Security</t>
  </si>
  <si>
    <t>10.20.0.1</t>
  </si>
  <si>
    <t>10.20.0.0</t>
  </si>
  <si>
    <t>10.20.0.225</t>
  </si>
  <si>
    <t>10.20.0.224</t>
  </si>
  <si>
    <t>255.255.255.240</t>
  </si>
  <si>
    <t>/28</t>
  </si>
  <si>
    <t>10.20.0.65</t>
  </si>
  <si>
    <t>10.20.0.64</t>
  </si>
  <si>
    <t>10.20.0.129</t>
  </si>
  <si>
    <t>10.20.0.128</t>
  </si>
  <si>
    <t>10.20.0.193</t>
  </si>
  <si>
    <t>10.20.0.192</t>
  </si>
  <si>
    <t>255.255.255.224</t>
  </si>
  <si>
    <t>/27</t>
  </si>
  <si>
    <t>10.20.1.1</t>
  </si>
  <si>
    <t>10.20.1.0</t>
  </si>
  <si>
    <t>10.20.0.241</t>
  </si>
  <si>
    <t>10.20.0.240</t>
  </si>
  <si>
    <t>10.20.1.9</t>
  </si>
  <si>
    <t>10.20.1.8</t>
  </si>
  <si>
    <t>CBR-SW1 G0/0/3</t>
  </si>
  <si>
    <t>51.41.77.5</t>
  </si>
  <si>
    <t>SYD-GW G0/0/2</t>
  </si>
  <si>
    <t>SYD WAN</t>
  </si>
  <si>
    <t>G0/0/3</t>
  </si>
  <si>
    <t>209.85.143.69</t>
  </si>
  <si>
    <t>CBR--GW G0/0/2</t>
  </si>
  <si>
    <t>CBR WAN</t>
  </si>
  <si>
    <t>Loopback0</t>
  </si>
  <si>
    <t>Loopback</t>
  </si>
  <si>
    <t>17.155.127.65</t>
  </si>
  <si>
    <t>255.255.255.255</t>
  </si>
  <si>
    <t>/32</t>
  </si>
  <si>
    <t>Simulated Internet</t>
  </si>
  <si>
    <t>IPSec</t>
  </si>
  <si>
    <t>PSK</t>
  </si>
  <si>
    <t>Local</t>
  </si>
  <si>
    <t>825491ec393dba7f48e99d3b5f2cff9ee98612e0d0eab96bc060be5e759eba83</t>
  </si>
  <si>
    <t>Public</t>
  </si>
  <si>
    <t>OSPF</t>
  </si>
  <si>
    <t>ID</t>
  </si>
  <si>
    <t>1.1.1.1</t>
  </si>
  <si>
    <t>Area</t>
  </si>
  <si>
    <t>3.3.3.3</t>
  </si>
  <si>
    <t>en</t>
  </si>
  <si>
    <t>2.2.2.2</t>
  </si>
  <si>
    <t>4.4.4.4</t>
  </si>
  <si>
    <t>PSK Random Generator Script</t>
  </si>
  <si>
    <t>$bytes = New-Object byte[] 32</t>
  </si>
  <si>
    <t>Creates an empty byte array called $bytes with space for 32 bytes.</t>
  </si>
  <si>
    <t>$rng = [System.Security.Cryptography.RandomNumberGenerator]::Create()</t>
  </si>
  <si>
    <t>Creates a cryptographically secure random number generator and stores it in $rng.</t>
  </si>
  <si>
    <t>$rng.GetBytes($bytes)</t>
  </si>
  <si>
    <t>Uses the secure random number generator to fill the $bytes array with 32 random bytes.</t>
  </si>
  <si>
    <t>([BitConverter]::ToString($bytes) -replace '-','').ToLower()</t>
  </si>
  <si>
    <t>This converts those raw random bytes into something we can actually type into the Cisco configuration.</t>
  </si>
  <si>
    <t>-replace '-',''</t>
  </si>
  <si>
    <t>removes all the hyphens</t>
  </si>
  <si>
    <t>$rng.Dispose()</t>
  </si>
  <si>
    <t>Closes and releases the random-number-generator object after we're finished with it.</t>
  </si>
  <si>
    <t>Layer 3 ACL policy SYD-SW1</t>
  </si>
  <si>
    <t>LAN</t>
  </si>
  <si>
    <t>Internal access</t>
  </si>
  <si>
    <t>Internet</t>
  </si>
  <si>
    <t>10 STAFF</t>
  </si>
  <si>
    <t>Server resources ✓</t>
  </si>
  <si>
    <t>Web/Email/FTP ✓</t>
  </si>
  <si>
    <t>Block Guest, Restricted, IT Admin/Management</t>
  </si>
  <si>
    <t>20 SERVER-INFRA</t>
  </si>
  <si>
    <t>Full ✓</t>
  </si>
  <si>
    <t>Required services ✓</t>
  </si>
  <si>
    <t>Infrastructure requirement</t>
  </si>
  <si>
    <t>30 GUEST</t>
  </si>
  <si>
    <t>None ✗</t>
  </si>
  <si>
    <t>Web/Email ✓</t>
  </si>
  <si>
    <t>DNS/DHCP exception as required</t>
  </si>
  <si>
    <t>40 RESTRICTED</t>
  </si>
  <si>
    <t>None outside VLAN ✗</t>
  </si>
  <si>
    <t>DHCP only so clients can obtain an address</t>
  </si>
  <si>
    <t>50 DEVICES</t>
  </si>
  <si>
    <t>To decide</t>
  </si>
  <si>
    <t>Our additional VLAN</t>
  </si>
  <si>
    <t>60 ITADMIN</t>
  </si>
  <si>
    <t>Web/Email/FTP/SSH ✓</t>
  </si>
  <si>
    <t>Administrative access</t>
  </si>
  <si>
    <t>70 EXEC</t>
  </si>
  <si>
    <t>99 MANAGEMENT</t>
  </si>
  <si>
    <t>Only authorised management hosts</t>
  </si>
  <si>
    <t>Normally no user access</t>
  </si>
  <si>
    <t>Separate management-security requirement</t>
  </si>
  <si>
    <t>Test Scenario</t>
  </si>
  <si>
    <t>Test Steps</t>
  </si>
  <si>
    <t>Expected Result</t>
  </si>
  <si>
    <t>Evidence</t>
  </si>
  <si>
    <t>SYD ↔ CBR dynamic routing and end-to-end connectivity</t>
  </si>
  <si>
    <t>From WS-SYD ping WS-CBR. Check "show ip ospf neighbor" on gateways.</t>
  </si>
  <si>
    <t>GRE/IPsec VPN encryption</t>
  </si>
  <si>
    <t>DHCP, DNS and NTP interoperability</t>
  </si>
  <si>
    <t>NAT/PAT and simulated Internet connectivity</t>
  </si>
  <si>
    <t>SYD EtherChannel resilience</t>
  </si>
  <si>
    <t>802.1X and dynamic VLAN assignment</t>
  </si>
  <si>
    <t>Staff ACL enforcement</t>
  </si>
  <si>
    <t>Guest ACL isolation</t>
  </si>
  <si>
    <t>Restricted VLAN isolation</t>
  </si>
  <si>
    <t>CBR port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</si>
</sst>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48"/>
      <color rgb="FF000000"/>
      <name val="Algerian"/>
    </font>
    <font>
      <b/>
      <sz val="18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  <font>
      <b/>
      <sz val="18"/>
      <color rgb="FF00000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AF2C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" fillId="7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7" borderId="0" xfId="0" applyFont="1" applyFill="1" applyAlignment="1">
      <alignment vertical="center" wrapText="1"/>
    </xf>
    <xf numFmtId="0" fontId="1" fillId="7" borderId="0" xfId="0" applyFont="1" applyFill="1" applyAlignment="1">
      <alignment horizontal="right" vertical="center" wrapText="1"/>
    </xf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3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2" xfId="0" applyFill="1" applyBorder="1" applyAlignment="1">
      <alignment horizontal="right" vertical="center"/>
    </xf>
    <xf numFmtId="0" fontId="0" fillId="4" borderId="19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4" borderId="13" xfId="0" applyFill="1" applyBorder="1" applyAlignment="1">
      <alignment horizontal="left" vertical="center"/>
    </xf>
    <xf numFmtId="0" fontId="4" fillId="6" borderId="14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/>
    </xf>
    <xf numFmtId="49" fontId="0" fillId="5" borderId="2" xfId="0" applyNumberForma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DAF2C9"/>
        </patternFill>
      </fill>
    </dxf>
    <dxf>
      <font>
        <color rgb="FF006100"/>
      </font>
      <fill>
        <patternFill patternType="solid">
          <bgColor rgb="FFDAF2C9"/>
        </patternFill>
      </fill>
    </dxf>
  </dxfs>
  <tableStyles count="0" defaultTableStyle="TableStyleMedium2" defaultPivotStyle="PivotStyleMedium9"/>
  <colors>
    <mruColors>
      <color rgb="FFDAF2C9"/>
      <color rgb="FFCAE8A2"/>
      <color rgb="FFE5F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oper, Andrew [Student]" id="{C5BA5A08-29FC-47EB-B254-E561BCCD1BB7}" userId="CIT055304@students.cit.edu.au" providerId="PeoplePicker"/>
  <person displayName="Low, Julian [Student]" id="{A280B14C-9E20-44D6-887A-5FAE2D3FA88E}" userId="CIT297880@students.cit.edu.au" providerId="PeoplePicker"/>
  <person displayName="Cook, Matthew [Student]" id="{E3A0444E-956C-4674-B871-42F80E71C356}" userId="CIT298720@students.cit.edu.au" providerId="PeoplePicker"/>
  <person displayName="Cooper, Andrew [Student]" id="{CE6D699E-A2EE-40F3-93CA-3B5883F2A948}" userId="S::cit055304@students.cit.edu.au::5dea08e3-aba3-44bb-b1c1-436717bd8ba8" providerId="AD"/>
  <person displayName="Low, Julian [Student]" id="{737CEEEC-1BC9-404E-9F6A-DDC3CD0148FA}" userId="S::cit297880@students.cit.edu.au::670550f4-1a87-41db-a570-05d874fb843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2" dT="2026-08-13T10:24:26.01" personId="{737CEEEC-1BC9-404E-9F6A-DDC3CD0148FA}" id="{0CB91E3F-B45F-413F-A082-E27478570A00}">
    <text>@Cooper, Andrew [Student] @Cook, Matthew [Student] Maybe a distinct addressing scheme for this one (192,172) etc so it stands out if we need to troubleshoot? But its up to you guys. I used 172.xxx.xxx.xxx/30 for the protoype.</text>
    <mentions>
      <mention mentionpersonId="{C5BA5A08-29FC-47EB-B254-E561BCCD1BB7}" mentionId="{DFC3D3CB-0CB5-42A4-BF70-29F46A08E681}" startIndex="0" length="25"/>
      <mention mentionpersonId="{E3A0444E-956C-4674-B871-42F80E71C356}" mentionId="{AAE44745-5225-4E21-9DDC-5BD9891A4AFF}" startIndex="26" length="24"/>
    </mentions>
  </threadedComment>
  <threadedComment ref="K42" dT="2026-08-13T15:39:07.02" personId="{CE6D699E-A2EE-40F3-93CA-3B5883F2A948}" id="{F53CBCA3-8141-444F-990E-9EAD5994F078}" parentId="{0CB91E3F-B45F-413F-A082-E27478570A00}">
    <text>@Low, Julian [Student] I think its different enough</text>
    <mentions>
      <mention mentionpersonId="{A280B14C-9E20-44D6-887A-5FAE2D3FA88E}" mentionId="{0EB5B5FA-4001-478E-9BE2-049D6CDA5AD9}" startIndex="0" length="2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3"/>
  <sheetViews>
    <sheetView workbookViewId="0">
      <pane ySplit="2" topLeftCell="A3" activePane="bottomLeft" state="frozen"/>
      <selection pane="bottomLeft" activeCell="S9" sqref="A9:XFD9"/>
    </sheetView>
  </sheetViews>
  <sheetFormatPr defaultRowHeight="15"/>
  <cols>
    <col min="1" max="1" width="5.7109375" customWidth="1"/>
    <col min="2" max="2" width="14.140625" customWidth="1"/>
    <col min="3" max="3" width="5.140625" hidden="1" customWidth="1"/>
    <col min="4" max="4" width="21.140625" customWidth="1"/>
    <col min="5" max="5" width="15.7109375" customWidth="1"/>
    <col min="6" max="6" width="7.28515625" customWidth="1"/>
    <col min="7" max="7" width="8.140625" customWidth="1"/>
    <col min="8" max="8" width="11.28515625" customWidth="1"/>
    <col min="9" max="10" width="10.42578125" customWidth="1"/>
    <col min="11" max="11" width="7.7109375" hidden="1" customWidth="1"/>
    <col min="12" max="12" width="15.28515625" customWidth="1"/>
    <col min="13" max="13" width="8.7109375" customWidth="1"/>
    <col min="14" max="14" width="7.85546875" customWidth="1"/>
    <col min="15" max="15" width="10.28515625" hidden="1" customWidth="1"/>
    <col min="16" max="16" width="16.28515625" customWidth="1"/>
    <col min="17" max="17" width="6" customWidth="1"/>
    <col min="18" max="18" width="6.28515625" customWidth="1"/>
    <col min="19" max="19" width="13.28515625" customWidth="1"/>
    <col min="20" max="20" width="13.42578125" customWidth="1"/>
    <col min="21" max="21" width="12.42578125" hidden="1" customWidth="1"/>
    <col min="22" max="22" width="13.5703125" customWidth="1"/>
    <col min="23" max="23" width="12.85546875" customWidth="1"/>
    <col min="24" max="24" width="12.5703125" customWidth="1"/>
    <col min="25" max="25" width="15.140625" customWidth="1"/>
    <col min="26" max="26" width="12.5703125" customWidth="1"/>
    <col min="27" max="27" width="12.28515625" customWidth="1"/>
    <col min="28" max="28" width="6.5703125" customWidth="1"/>
    <col min="29" max="29" width="29.140625" customWidth="1"/>
    <col min="31" max="31" width="16.85546875" customWidth="1"/>
    <col min="32" max="32" width="18.28515625" customWidth="1"/>
    <col min="33" max="33" width="17.85546875" customWidth="1"/>
    <col min="34" max="34" width="10.85546875" customWidth="1"/>
  </cols>
  <sheetData>
    <row r="1" spans="1:34" ht="67.5" customHeight="1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</row>
    <row r="2" spans="1:34" s="8" customFormat="1" ht="54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7" t="s">
        <v>29</v>
      </c>
    </row>
    <row r="3" spans="1:34" s="8" customFormat="1" ht="32.25" customHeight="1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</row>
    <row r="4" spans="1:34">
      <c r="A4" s="3">
        <v>10</v>
      </c>
      <c r="B4" s="2" t="s">
        <v>31</v>
      </c>
      <c r="C4" s="2" t="s">
        <v>32</v>
      </c>
      <c r="D4" s="2" t="s">
        <v>33</v>
      </c>
      <c r="E4" s="3" t="s">
        <v>34</v>
      </c>
      <c r="F4" s="3" t="s">
        <v>34</v>
      </c>
      <c r="G4" s="1">
        <v>650</v>
      </c>
      <c r="H4" s="4">
        <f>G4*0.25</f>
        <v>162.5</v>
      </c>
      <c r="I4" s="1">
        <v>0</v>
      </c>
      <c r="J4" s="4">
        <f>ROUNDUP(G4+H4,0)</f>
        <v>813</v>
      </c>
      <c r="K4" s="4">
        <f>IF(E4&lt;&gt;"Yes","",IFERROR(IF(J4+1&lt;=2,30,IF(J4+1&lt;=6,29,IF(J4+1&lt;=14,28,IF(J4+1&lt;=30,27,IF(J4+1&lt;=62,26,IF(J4+1&lt;=126,25,IF(J4+1&lt;=254,24,IF(J4+1&lt;=510,23,IF(J4+1&lt;=1022,22,"Too Large"))))))))),""))</f>
        <v>22</v>
      </c>
      <c r="L4" s="4" t="str">
        <f>IF(E4&lt;&gt;"Yes","",IF(K4="","", "/"&amp;K4))</f>
        <v>/22</v>
      </c>
      <c r="M4" s="4">
        <f>IF(E4&lt;&gt;"Yes","",2^(32-K4)-2)</f>
        <v>1022</v>
      </c>
      <c r="N4" s="4">
        <f>IF(E4&lt;&gt;"Yes","",M4-J4-1)</f>
        <v>208</v>
      </c>
      <c r="O4" s="4">
        <f>IF(E4&lt;&gt;"Yes","",2^(32-K4))</f>
        <v>1024</v>
      </c>
      <c r="P4" s="4" t="str">
        <f>IF(E4&lt;&gt;"Yes","",IF(K4=22,"255.255.252.0",IF(K4=23,"255.255.254.0",IF(K4=24,"255.255.255.0",IF(K4=25,"255.255.255.128",IF(K4=26,"255.255.255.192",IF(K4=27,"255.255.255.224",IF(K4=28,"255.255.255.240",IF(K4=29,"255.255.255.248",IF(K4=30,"255.255.255.252",""))))))))))</f>
        <v>255.255.252.0</v>
      </c>
      <c r="Q4" s="4">
        <f>IF(E4&lt;&gt;"Yes","",O4)</f>
        <v>1024</v>
      </c>
      <c r="R4" s="4">
        <f>IF(E4&lt;&gt;"Yes","",COUNTIFS($C$4:$C$33,C4,$E$4:$E$33,"Yes",$O$4:$O$33,"&gt;"&amp;O4)+COUNTIFS($C$4:C4,C4,$E$4:E4,"Yes",$O$4:O4,O4))</f>
        <v>1</v>
      </c>
      <c r="S4" s="1" t="str" cm="1">
        <f t="array" ref="S4">IF(E4&lt;&gt;"Yes","",_xlfn.LET(_xlpm.base,IF(C4="SYD","10.10.0.0",IF(C4="CBR","10.20.0.0","")),_xlpm.ip,--_xlfn.TEXTSPLIT(_xlpm.base,"."),_xlpm.offset,SUMIFS($O$4:$O$33,$C$4:$C$33,C4,$E$4:$E$33,"Yes",$R$4:$R$33,"&lt;"&amp;R4),_xlpm.total,SUMPRODUCT(_xlpm.ip,{16777216,65536,256,1})+_xlpm.offset,QUOTIENT(_xlpm.total,16777216)&amp;"."&amp;MOD(QUOTIENT(_xlpm.total,65536),256)&amp;"."&amp;MOD(QUOTIENT(_xlpm.total,256),256)&amp;"."&amp;MOD(_xlpm.total,256)))</f>
        <v>10.10.0.0</v>
      </c>
      <c r="T4" s="4" t="str" cm="1">
        <f t="array" ref="T4">IF(E4&lt;&gt;"Yes","",_xlfn.LET(_xlpm.ip,--_xlfn.TEXTSPLIT(S4,"."),_xlpm.n,O4-1,_xlpm.total,SUMPRODUCT(_xlpm.ip,{16777216,65536,256,1})+_xlpm.n,QUOTIENT(_xlpm.total,16777216)&amp;"."&amp;MOD(QUOTIENT(_xlpm.total,65536),256)&amp;"."&amp;MOD(QUOTIENT(_xlpm.total,256),256)&amp;"."&amp;MOD(_xlpm.total,256)))</f>
        <v>10.10.3.255</v>
      </c>
      <c r="U4" s="4" t="str">
        <f>IF(E4&lt;&gt;"Yes","",S4)</f>
        <v>10.10.0.0</v>
      </c>
      <c r="V4" s="4" t="str" cm="1">
        <f t="array" ref="V4">IF(E4&lt;&gt;"Yes","",_xlfn.LET(_xlpm.ip,--_xlfn.TEXTSPLIT(S4,"."),_xlpm.total,SUMPRODUCT(_xlpm.ip,{16777216,65536,256,1})+1,QUOTIENT(_xlpm.total,16777216)&amp;"."&amp;MOD(QUOTIENT(_xlpm.total,65536),256)&amp;"."&amp;MOD(QUOTIENT(_xlpm.total,256),256)&amp;"."&amp;MOD(_xlpm.total,256)))</f>
        <v>10.10.0.1</v>
      </c>
      <c r="W4" s="4" t="str" cm="1">
        <f t="array" ref="W4">IF(E4&lt;&gt;"Yes","",_xlfn.LET(_xlpm.ip,--_xlfn.TEXTSPLIT(T4,"."),_xlpm.total,SUMPRODUCT(_xlpm.ip,{16777216,65536,256,1})-1,QUOTIENT(_xlpm.total,16777216)&amp;"."&amp;MOD(QUOTIENT(_xlpm.total,65536),256)&amp;"."&amp;MOD(QUOTIENT(_xlpm.total,256),256)&amp;"."&amp;MOD(_xlpm.total,256)))</f>
        <v>10.10.3.254</v>
      </c>
      <c r="X4" s="4" t="str">
        <f>IF(E4&lt;&gt;"Yes","",V4)</f>
        <v>10.10.0.1</v>
      </c>
      <c r="Y4" s="4" t="str">
        <f>IF(E4&lt;&gt;"Yes","",S4&amp;L4)</f>
        <v>10.10.0.0/22</v>
      </c>
      <c r="Z4" s="4" t="str" cm="1">
        <f t="array" ref="Z4">IF(OR(E4&lt;&gt;"Yes",F4&lt;&gt;"Yes"),"",_xlfn.LET(_xlpm.ip,--_xlfn.TEXTSPLIT(V4,"."),_xlpm.n,I4+1,_xlpm.total,SUMPRODUCT(_xlpm.ip,{16777216,65536,256,1})+_xlpm.n,QUOTIENT(_xlpm.total,16777216)&amp;"."&amp;MOD(QUOTIENT(_xlpm.total,65536),256)&amp;"."&amp;MOD(QUOTIENT(_xlpm.total,256),256)&amp;"."&amp;MOD(_xlpm.total,256)))</f>
        <v>10.10.0.2</v>
      </c>
      <c r="AA4" s="4" t="str">
        <f>IF(OR(E4&lt;&gt;"Yes",F4&lt;&gt;"Yes"),"",W4)</f>
        <v>10.10.3.254</v>
      </c>
      <c r="AB4" s="4">
        <f>IF(OR(E4&lt;&gt;"Yes",F4&lt;&gt;"Yes"),"",M4-I4-1)</f>
        <v>1021</v>
      </c>
      <c r="AC4" s="4" t="str" cm="1">
        <f t="array" ref="AC4">IF(OR(E4&lt;&gt;"Yes",F4&lt;&gt;"Yes"),"",_xlfn.LET(_xlpm.ip,--_xlfn.TEXTSPLIT(Z4,"."),_xlpm.total,SUMPRODUCT(_xlpm.ip,{16777216,65536,256,1})-1,_xlpm.last,QUOTIENT(_xlpm.total,16777216)&amp;"."&amp;MOD(QUOTIENT(_xlpm.total,65536),256)&amp;"."&amp;MOD(QUOTIENT(_xlpm.total,256),256)&amp;"."&amp;MOD(_xlpm.total,256),V4&amp;" - "&amp;_xlpm.last))</f>
        <v>10.10.0.1 - 10.10.0.1</v>
      </c>
      <c r="AE4" s="28"/>
      <c r="AF4" s="28"/>
      <c r="AG4" s="28"/>
      <c r="AH4" s="28"/>
    </row>
    <row r="5" spans="1:34">
      <c r="A5" s="3">
        <v>20</v>
      </c>
      <c r="B5" s="2" t="s">
        <v>35</v>
      </c>
      <c r="C5" s="2" t="s">
        <v>32</v>
      </c>
      <c r="D5" s="2" t="s">
        <v>36</v>
      </c>
      <c r="E5" s="3" t="s">
        <v>34</v>
      </c>
      <c r="F5" s="3" t="s">
        <v>37</v>
      </c>
      <c r="G5" s="1">
        <v>50</v>
      </c>
      <c r="H5" s="4">
        <f t="shared" ref="H5:H33" si="0">G5*0.25</f>
        <v>12.5</v>
      </c>
      <c r="I5" s="1">
        <v>0</v>
      </c>
      <c r="J5" s="4">
        <f t="shared" ref="J5:J33" si="1">ROUNDUP(G5+H5,0)</f>
        <v>63</v>
      </c>
      <c r="K5" s="4">
        <f t="shared" ref="K5:K33" si="2">IF(E5&lt;&gt;"Yes","",IFERROR(IF(J5+1&lt;=2,30,IF(J5+1&lt;=6,29,IF(J5+1&lt;=14,28,IF(J5+1&lt;=30,27,IF(J5+1&lt;=62,26,IF(J5+1&lt;=126,25,IF(J5+1&lt;=254,24,IF(J5+1&lt;=510,23,IF(J5+1&lt;=1022,22,"Too Large"))))))))),""))</f>
        <v>25</v>
      </c>
      <c r="L5" s="4" t="str">
        <f t="shared" ref="L5:L33" si="3">IF(E5&lt;&gt;"Yes","",IF(K5="","", "/"&amp;K5))</f>
        <v>/25</v>
      </c>
      <c r="M5" s="4">
        <f t="shared" ref="M5:M33" si="4">IF(E5&lt;&gt;"Yes","",2^(32-K5)-2)</f>
        <v>126</v>
      </c>
      <c r="N5" s="4">
        <f t="shared" ref="N5:N33" si="5">IF(E5&lt;&gt;"Yes","",M5-J5-1)</f>
        <v>62</v>
      </c>
      <c r="O5" s="4">
        <f t="shared" ref="O5:O33" si="6">IF(E5&lt;&gt;"Yes","",2^(32-K5))</f>
        <v>128</v>
      </c>
      <c r="P5" s="4" t="str">
        <f t="shared" ref="P5:P33" si="7">IF(E5&lt;&gt;"Yes","",IF(K5=22,"255.255.252.0",IF(K5=23,"255.255.254.0",IF(K5=24,"255.255.255.0",IF(K5=25,"255.255.255.128",IF(K5=26,"255.255.255.192",IF(K5=27,"255.255.255.224",IF(K5=28,"255.255.255.240",IF(K5=29,"255.255.255.248",IF(K5=30,"255.255.255.252",""))))))))))</f>
        <v>255.255.255.128</v>
      </c>
      <c r="Q5" s="4">
        <f t="shared" ref="Q5:Q33" si="8">IF(E5&lt;&gt;"Yes","",O5)</f>
        <v>128</v>
      </c>
      <c r="R5" s="4">
        <f>IF(E5&lt;&gt;"Yes","",COUNTIFS($C$4:$C$33,C5,$E$4:$E$33,"Yes",$O$4:$O$33,"&gt;"&amp;O5)+COUNTIFS($C$4:C5,C5,$E$4:E5,"Yes",$O$4:O5,O5))</f>
        <v>2</v>
      </c>
      <c r="S5" s="4" t="str" cm="1">
        <f t="array" ref="S5">IF(E5&lt;&gt;"Yes","",_xlfn.LET(_xlpm.base,IF(C5="SYD","10.10.0.0",IF(C5="CBR","10.20.0.0","")),_xlpm.ip,--_xlfn.TEXTSPLIT(_xlpm.base,"."),_xlpm.offset,SUMIFS($O$4:$O$33,$C$4:$C$33,C5,$E$4:$E$33,"Yes",$R$4:$R$33,"&lt;"&amp;R5),_xlpm.total,SUMPRODUCT(_xlpm.ip,{16777216,65536,256,1})+_xlpm.offset,QUOTIENT(_xlpm.total,16777216)&amp;"."&amp;MOD(QUOTIENT(_xlpm.total,65536),256)&amp;"."&amp;MOD(QUOTIENT(_xlpm.total,256),256)&amp;"."&amp;MOD(_xlpm.total,256)))</f>
        <v>10.10.4.0</v>
      </c>
      <c r="T5" s="4" t="str" cm="1">
        <f t="array" ref="T5">IF(E5&lt;&gt;"Yes","",_xlfn.LET(_xlpm.ip,--_xlfn.TEXTSPLIT(S5,"."),_xlpm.n,O5-1,_xlpm.total,SUMPRODUCT(_xlpm.ip,{16777216,65536,256,1})+_xlpm.n,QUOTIENT(_xlpm.total,16777216)&amp;"."&amp;MOD(QUOTIENT(_xlpm.total,65536),256)&amp;"."&amp;MOD(QUOTIENT(_xlpm.total,256),256)&amp;"."&amp;MOD(_xlpm.total,256)))</f>
        <v>10.10.4.127</v>
      </c>
      <c r="U5" s="4" t="str">
        <f t="shared" ref="U5:U33" si="9">IF(E5&lt;&gt;"Yes","",S5)</f>
        <v>10.10.4.0</v>
      </c>
      <c r="V5" s="4" t="str" cm="1">
        <f t="array" ref="V5">IF(E5&lt;&gt;"Yes","",_xlfn.LET(_xlpm.ip,--_xlfn.TEXTSPLIT(S5,"."),_xlpm.total,SUMPRODUCT(_xlpm.ip,{16777216,65536,256,1})+1,QUOTIENT(_xlpm.total,16777216)&amp;"."&amp;MOD(QUOTIENT(_xlpm.total,65536),256)&amp;"."&amp;MOD(QUOTIENT(_xlpm.total,256),256)&amp;"."&amp;MOD(_xlpm.total,256)))</f>
        <v>10.10.4.1</v>
      </c>
      <c r="W5" s="4" t="str" cm="1">
        <f t="array" ref="W5">IF(E5&lt;&gt;"Yes","",_xlfn.LET(_xlpm.ip,--_xlfn.TEXTSPLIT(T5,"."),_xlpm.total,SUMPRODUCT(_xlpm.ip,{16777216,65536,256,1})-1,QUOTIENT(_xlpm.total,16777216)&amp;"."&amp;MOD(QUOTIENT(_xlpm.total,65536),256)&amp;"."&amp;MOD(QUOTIENT(_xlpm.total,256),256)&amp;"."&amp;MOD(_xlpm.total,256)))</f>
        <v>10.10.4.126</v>
      </c>
      <c r="X5" s="4" t="str">
        <f t="shared" ref="X5:X33" si="10">IF(E5&lt;&gt;"Yes","",V5)</f>
        <v>10.10.4.1</v>
      </c>
      <c r="Y5" s="4" t="str">
        <f t="shared" ref="Y5:Y33" si="11">IF(E5&lt;&gt;"Yes","",S5&amp;L5)</f>
        <v>10.10.4.0/25</v>
      </c>
      <c r="Z5" s="4" t="str" cm="1">
        <f t="array" ref="Z5">IF(OR(E5&lt;&gt;"Yes",F5&lt;&gt;"Yes"),"",_xlfn.LET(_xlpm.ip,--_xlfn.TEXTSPLIT(V5,"."),_xlpm.n,I5+1,_xlpm.total,SUMPRODUCT(_xlpm.ip,{16777216,65536,256,1})+_xlpm.n,QUOTIENT(_xlpm.total,16777216)&amp;"."&amp;MOD(QUOTIENT(_xlpm.total,65536),256)&amp;"."&amp;MOD(QUOTIENT(_xlpm.total,256),256)&amp;"."&amp;MOD(_xlpm.total,256)))</f>
        <v/>
      </c>
      <c r="AA5" s="4" t="str">
        <f t="shared" ref="AA5:AA33" si="12">IF(OR(E5&lt;&gt;"Yes",F5&lt;&gt;"Yes"),"",W5)</f>
        <v/>
      </c>
      <c r="AB5" s="4" t="str">
        <f t="shared" ref="AB5:AB33" si="13">IF(OR(E5&lt;&gt;"Yes",F5&lt;&gt;"Yes"),"",M5-I5-1)</f>
        <v/>
      </c>
      <c r="AC5" s="4" t="str" cm="1">
        <f t="array" ref="AC5">IF(OR(E5&lt;&gt;"Yes",F5&lt;&gt;"Yes"),"",_xlfn.LET(_xlpm.ip,--_xlfn.TEXTSPLIT(Z5,"."),_xlpm.total,SUMPRODUCT(_xlpm.ip,{16777216,65536,256,1})-1,_xlpm.last,QUOTIENT(_xlpm.total,16777216)&amp;"."&amp;MOD(QUOTIENT(_xlpm.total,65536),256)&amp;"."&amp;MOD(QUOTIENT(_xlpm.total,256),256)&amp;"."&amp;MOD(_xlpm.total,256),V5&amp;" - "&amp;_xlpm.last))</f>
        <v/>
      </c>
      <c r="AE5" s="28"/>
      <c r="AF5" s="28"/>
      <c r="AG5" s="28"/>
      <c r="AH5" s="28"/>
    </row>
    <row r="6" spans="1:34">
      <c r="A6" s="3">
        <v>30</v>
      </c>
      <c r="B6" s="2" t="s">
        <v>38</v>
      </c>
      <c r="C6" s="2" t="s">
        <v>32</v>
      </c>
      <c r="D6" s="2" t="s">
        <v>39</v>
      </c>
      <c r="E6" s="3" t="s">
        <v>34</v>
      </c>
      <c r="F6" s="3" t="s">
        <v>34</v>
      </c>
      <c r="G6" s="1">
        <v>80</v>
      </c>
      <c r="H6" s="4">
        <f t="shared" si="0"/>
        <v>20</v>
      </c>
      <c r="I6" s="1">
        <v>0</v>
      </c>
      <c r="J6" s="4">
        <f t="shared" si="1"/>
        <v>100</v>
      </c>
      <c r="K6" s="4">
        <f t="shared" si="2"/>
        <v>25</v>
      </c>
      <c r="L6" s="4" t="str">
        <f t="shared" si="3"/>
        <v>/25</v>
      </c>
      <c r="M6" s="4">
        <f t="shared" si="4"/>
        <v>126</v>
      </c>
      <c r="N6" s="4">
        <f t="shared" si="5"/>
        <v>25</v>
      </c>
      <c r="O6" s="4">
        <f t="shared" si="6"/>
        <v>128</v>
      </c>
      <c r="P6" s="4" t="str">
        <f t="shared" si="7"/>
        <v>255.255.255.128</v>
      </c>
      <c r="Q6" s="4">
        <f t="shared" si="8"/>
        <v>128</v>
      </c>
      <c r="R6" s="4">
        <f>IF(E6&lt;&gt;"Yes","",COUNTIFS($C$4:$C$33,C6,$E$4:$E$33,"Yes",$O$4:$O$33,"&gt;"&amp;O6)+COUNTIFS($C$4:C6,C6,$E$4:E6,"Yes",$O$4:O6,O6))</f>
        <v>3</v>
      </c>
      <c r="S6" s="4" t="str" cm="1">
        <f t="array" ref="S6">IF(E6&lt;&gt;"Yes","",_xlfn.LET(_xlpm.base,IF(C6="SYD","10.10.0.0",IF(C6="CBR","10.20.0.0","")),_xlpm.ip,--_xlfn.TEXTSPLIT(_xlpm.base,"."),_xlpm.offset,SUMIFS($O$4:$O$33,$C$4:$C$33,C6,$E$4:$E$33,"Yes",$R$4:$R$33,"&lt;"&amp;R6),_xlpm.total,SUMPRODUCT(_xlpm.ip,{16777216,65536,256,1})+_xlpm.offset,QUOTIENT(_xlpm.total,16777216)&amp;"."&amp;MOD(QUOTIENT(_xlpm.total,65536),256)&amp;"."&amp;MOD(QUOTIENT(_xlpm.total,256),256)&amp;"."&amp;MOD(_xlpm.total,256)))</f>
        <v>10.10.4.128</v>
      </c>
      <c r="T6" s="4" t="str" cm="1">
        <f t="array" ref="T6">IF(E6&lt;&gt;"Yes","",_xlfn.LET(_xlpm.ip,--_xlfn.TEXTSPLIT(S6,"."),_xlpm.n,O6-1,_xlpm.total,SUMPRODUCT(_xlpm.ip,{16777216,65536,256,1})+_xlpm.n,QUOTIENT(_xlpm.total,16777216)&amp;"."&amp;MOD(QUOTIENT(_xlpm.total,65536),256)&amp;"."&amp;MOD(QUOTIENT(_xlpm.total,256),256)&amp;"."&amp;MOD(_xlpm.total,256)))</f>
        <v>10.10.4.255</v>
      </c>
      <c r="U6" s="4" t="str">
        <f t="shared" si="9"/>
        <v>10.10.4.128</v>
      </c>
      <c r="V6" s="4" t="str" cm="1">
        <f t="array" ref="V6">IF(E6&lt;&gt;"Yes","",_xlfn.LET(_xlpm.ip,--_xlfn.TEXTSPLIT(S6,"."),_xlpm.total,SUMPRODUCT(_xlpm.ip,{16777216,65536,256,1})+1,QUOTIENT(_xlpm.total,16777216)&amp;"."&amp;MOD(QUOTIENT(_xlpm.total,65536),256)&amp;"."&amp;MOD(QUOTIENT(_xlpm.total,256),256)&amp;"."&amp;MOD(_xlpm.total,256)))</f>
        <v>10.10.4.129</v>
      </c>
      <c r="W6" s="4" t="str" cm="1">
        <f t="array" ref="W6">IF(E6&lt;&gt;"Yes","",_xlfn.LET(_xlpm.ip,--_xlfn.TEXTSPLIT(T6,"."),_xlpm.total,SUMPRODUCT(_xlpm.ip,{16777216,65536,256,1})-1,QUOTIENT(_xlpm.total,16777216)&amp;"."&amp;MOD(QUOTIENT(_xlpm.total,65536),256)&amp;"."&amp;MOD(QUOTIENT(_xlpm.total,256),256)&amp;"."&amp;MOD(_xlpm.total,256)))</f>
        <v>10.10.4.254</v>
      </c>
      <c r="X6" s="4" t="str">
        <f t="shared" si="10"/>
        <v>10.10.4.129</v>
      </c>
      <c r="Y6" s="4" t="str">
        <f t="shared" si="11"/>
        <v>10.10.4.128/25</v>
      </c>
      <c r="Z6" s="4" t="str" cm="1">
        <f t="array" ref="Z6">IF(OR(E6&lt;&gt;"Yes",F6&lt;&gt;"Yes"),"",_xlfn.LET(_xlpm.ip,--_xlfn.TEXTSPLIT(V6,"."),_xlpm.n,I6+1,_xlpm.total,SUMPRODUCT(_xlpm.ip,{16777216,65536,256,1})+_xlpm.n,QUOTIENT(_xlpm.total,16777216)&amp;"."&amp;MOD(QUOTIENT(_xlpm.total,65536),256)&amp;"."&amp;MOD(QUOTIENT(_xlpm.total,256),256)&amp;"."&amp;MOD(_xlpm.total,256)))</f>
        <v>10.10.4.130</v>
      </c>
      <c r="AA6" s="4" t="str">
        <f t="shared" si="12"/>
        <v>10.10.4.254</v>
      </c>
      <c r="AB6" s="4">
        <f t="shared" si="13"/>
        <v>125</v>
      </c>
      <c r="AC6" s="4" t="str" cm="1">
        <f t="array" ref="AC6">IF(OR(E6&lt;&gt;"Yes",F6&lt;&gt;"Yes"),"",_xlfn.LET(_xlpm.ip,--_xlfn.TEXTSPLIT(Z6,"."),_xlpm.total,SUMPRODUCT(_xlpm.ip,{16777216,65536,256,1})-1,_xlpm.last,QUOTIENT(_xlpm.total,16777216)&amp;"."&amp;MOD(QUOTIENT(_xlpm.total,65536),256)&amp;"."&amp;MOD(QUOTIENT(_xlpm.total,256),256)&amp;"."&amp;MOD(_xlpm.total,256),V6&amp;" - "&amp;_xlpm.last))</f>
        <v>10.10.4.129 - 10.10.4.129</v>
      </c>
      <c r="AE6" s="28"/>
      <c r="AF6" s="28"/>
      <c r="AG6" s="28"/>
      <c r="AH6" s="28"/>
    </row>
    <row r="7" spans="1:34">
      <c r="A7" s="3">
        <v>40</v>
      </c>
      <c r="B7" s="2" t="s">
        <v>40</v>
      </c>
      <c r="C7" s="2" t="s">
        <v>32</v>
      </c>
      <c r="D7" s="2" t="s">
        <v>41</v>
      </c>
      <c r="E7" s="3" t="s">
        <v>34</v>
      </c>
      <c r="F7" s="3" t="s">
        <v>34</v>
      </c>
      <c r="G7" s="1">
        <v>80</v>
      </c>
      <c r="H7" s="4">
        <f t="shared" si="0"/>
        <v>20</v>
      </c>
      <c r="I7" s="1">
        <v>0</v>
      </c>
      <c r="J7" s="4">
        <f t="shared" si="1"/>
        <v>100</v>
      </c>
      <c r="K7" s="4">
        <f t="shared" si="2"/>
        <v>25</v>
      </c>
      <c r="L7" s="4" t="str">
        <f t="shared" si="3"/>
        <v>/25</v>
      </c>
      <c r="M7" s="4">
        <f t="shared" si="4"/>
        <v>126</v>
      </c>
      <c r="N7" s="4">
        <f t="shared" si="5"/>
        <v>25</v>
      </c>
      <c r="O7" s="4">
        <f t="shared" si="6"/>
        <v>128</v>
      </c>
      <c r="P7" s="4" t="str">
        <f t="shared" si="7"/>
        <v>255.255.255.128</v>
      </c>
      <c r="Q7" s="4">
        <f t="shared" si="8"/>
        <v>128</v>
      </c>
      <c r="R7" s="4">
        <f>IF(E7&lt;&gt;"Yes","",COUNTIFS($C$4:$C$33,C7,$E$4:$E$33,"Yes",$O$4:$O$33,"&gt;"&amp;O7)+COUNTIFS($C$4:C7,C7,$E$4:E7,"Yes",$O$4:O7,O7))</f>
        <v>4</v>
      </c>
      <c r="S7" s="4" t="str" cm="1">
        <f t="array" ref="S7">IF(E7&lt;&gt;"Yes","",_xlfn.LET(_xlpm.base,IF(C7="SYD","10.10.0.0",IF(C7="CBR","10.20.0.0","")),_xlpm.ip,--_xlfn.TEXTSPLIT(_xlpm.base,"."),_xlpm.offset,SUMIFS($O$4:$O$33,$C$4:$C$33,C7,$E$4:$E$33,"Yes",$R$4:$R$33,"&lt;"&amp;R7),_xlpm.total,SUMPRODUCT(_xlpm.ip,{16777216,65536,256,1})+_xlpm.offset,QUOTIENT(_xlpm.total,16777216)&amp;"."&amp;MOD(QUOTIENT(_xlpm.total,65536),256)&amp;"."&amp;MOD(QUOTIENT(_xlpm.total,256),256)&amp;"."&amp;MOD(_xlpm.total,256)))</f>
        <v>10.10.5.0</v>
      </c>
      <c r="T7" s="4" t="str" cm="1">
        <f t="array" ref="T7">IF(E7&lt;&gt;"Yes","",_xlfn.LET(_xlpm.ip,--_xlfn.TEXTSPLIT(S7,"."),_xlpm.n,O7-1,_xlpm.total,SUMPRODUCT(_xlpm.ip,{16777216,65536,256,1})+_xlpm.n,QUOTIENT(_xlpm.total,16777216)&amp;"."&amp;MOD(QUOTIENT(_xlpm.total,65536),256)&amp;"."&amp;MOD(QUOTIENT(_xlpm.total,256),256)&amp;"."&amp;MOD(_xlpm.total,256)))</f>
        <v>10.10.5.127</v>
      </c>
      <c r="U7" s="4" t="str">
        <f t="shared" si="9"/>
        <v>10.10.5.0</v>
      </c>
      <c r="V7" s="4" t="str" cm="1">
        <f t="array" ref="V7">IF(E7&lt;&gt;"Yes","",_xlfn.LET(_xlpm.ip,--_xlfn.TEXTSPLIT(S7,"."),_xlpm.total,SUMPRODUCT(_xlpm.ip,{16777216,65536,256,1})+1,QUOTIENT(_xlpm.total,16777216)&amp;"."&amp;MOD(QUOTIENT(_xlpm.total,65536),256)&amp;"."&amp;MOD(QUOTIENT(_xlpm.total,256),256)&amp;"."&amp;MOD(_xlpm.total,256)))</f>
        <v>10.10.5.1</v>
      </c>
      <c r="W7" s="4" t="str" cm="1">
        <f t="array" ref="W7">IF(E7&lt;&gt;"Yes","",_xlfn.LET(_xlpm.ip,--_xlfn.TEXTSPLIT(T7,"."),_xlpm.total,SUMPRODUCT(_xlpm.ip,{16777216,65536,256,1})-1,QUOTIENT(_xlpm.total,16777216)&amp;"."&amp;MOD(QUOTIENT(_xlpm.total,65536),256)&amp;"."&amp;MOD(QUOTIENT(_xlpm.total,256),256)&amp;"."&amp;MOD(_xlpm.total,256)))</f>
        <v>10.10.5.126</v>
      </c>
      <c r="X7" s="4" t="str">
        <f t="shared" si="10"/>
        <v>10.10.5.1</v>
      </c>
      <c r="Y7" s="4" t="str">
        <f t="shared" si="11"/>
        <v>10.10.5.0/25</v>
      </c>
      <c r="Z7" s="4" t="str" cm="1">
        <f t="array" ref="Z7">IF(OR(E7&lt;&gt;"Yes",F7&lt;&gt;"Yes"),"",_xlfn.LET(_xlpm.ip,--_xlfn.TEXTSPLIT(V7,"."),_xlpm.n,I7+1,_xlpm.total,SUMPRODUCT(_xlpm.ip,{16777216,65536,256,1})+_xlpm.n,QUOTIENT(_xlpm.total,16777216)&amp;"."&amp;MOD(QUOTIENT(_xlpm.total,65536),256)&amp;"."&amp;MOD(QUOTIENT(_xlpm.total,256),256)&amp;"."&amp;MOD(_xlpm.total,256)))</f>
        <v>10.10.5.2</v>
      </c>
      <c r="AA7" s="4" t="str">
        <f t="shared" si="12"/>
        <v>10.10.5.126</v>
      </c>
      <c r="AB7" s="4">
        <f t="shared" si="13"/>
        <v>125</v>
      </c>
      <c r="AC7" s="4" t="str" cm="1">
        <f t="array" ref="AC7">IF(OR(E7&lt;&gt;"Yes",F7&lt;&gt;"Yes"),"",_xlfn.LET(_xlpm.ip,--_xlfn.TEXTSPLIT(Z7,"."),_xlpm.total,SUMPRODUCT(_xlpm.ip,{16777216,65536,256,1})-1,_xlpm.last,QUOTIENT(_xlpm.total,16777216)&amp;"."&amp;MOD(QUOTIENT(_xlpm.total,65536),256)&amp;"."&amp;MOD(QUOTIENT(_xlpm.total,256),256)&amp;"."&amp;MOD(_xlpm.total,256),V7&amp;" - "&amp;_xlpm.last))</f>
        <v>10.10.5.1 - 10.10.5.1</v>
      </c>
      <c r="AE7" s="28"/>
      <c r="AF7" s="28"/>
      <c r="AG7" s="28"/>
      <c r="AH7" s="28"/>
    </row>
    <row r="8" spans="1:34">
      <c r="A8" s="3">
        <v>50</v>
      </c>
      <c r="B8" s="2" t="s">
        <v>42</v>
      </c>
      <c r="C8" s="2" t="s">
        <v>32</v>
      </c>
      <c r="D8" s="2" t="s">
        <v>43</v>
      </c>
      <c r="E8" s="3" t="s">
        <v>34</v>
      </c>
      <c r="F8" s="3" t="s">
        <v>34</v>
      </c>
      <c r="G8" s="1">
        <v>45</v>
      </c>
      <c r="H8" s="4">
        <f t="shared" si="0"/>
        <v>11.25</v>
      </c>
      <c r="I8" s="1">
        <v>0</v>
      </c>
      <c r="J8" s="4">
        <f t="shared" si="1"/>
        <v>57</v>
      </c>
      <c r="K8" s="4">
        <f t="shared" si="2"/>
        <v>26</v>
      </c>
      <c r="L8" s="4" t="str">
        <f t="shared" si="3"/>
        <v>/26</v>
      </c>
      <c r="M8" s="4">
        <f t="shared" si="4"/>
        <v>62</v>
      </c>
      <c r="N8" s="4">
        <f t="shared" si="5"/>
        <v>4</v>
      </c>
      <c r="O8" s="4">
        <f t="shared" si="6"/>
        <v>64</v>
      </c>
      <c r="P8" s="4" t="str">
        <f t="shared" si="7"/>
        <v>255.255.255.192</v>
      </c>
      <c r="Q8" s="4">
        <f t="shared" si="8"/>
        <v>64</v>
      </c>
      <c r="R8" s="4">
        <f>IF(E8&lt;&gt;"Yes","",COUNTIFS($C$4:$C$33,C8,$E$4:$E$33,"Yes",$O$4:$O$33,"&gt;"&amp;O8)+COUNTIFS($C$4:C8,C8,$E$4:E8,"Yes",$O$4:O8,O8))</f>
        <v>5</v>
      </c>
      <c r="S8" s="4" t="str" cm="1">
        <f t="array" ref="S8">IF(E8&lt;&gt;"Yes","",_xlfn.LET(_xlpm.base,IF(C8="SYD","10.10.0.0",IF(C8="CBR","10.20.0.0","")),_xlpm.ip,--_xlfn.TEXTSPLIT(_xlpm.base,"."),_xlpm.offset,SUMIFS($O$4:$O$33,$C$4:$C$33,C8,$E$4:$E$33,"Yes",$R$4:$R$33,"&lt;"&amp;R8),_xlpm.total,SUMPRODUCT(_xlpm.ip,{16777216,65536,256,1})+_xlpm.offset,QUOTIENT(_xlpm.total,16777216)&amp;"."&amp;MOD(QUOTIENT(_xlpm.total,65536),256)&amp;"."&amp;MOD(QUOTIENT(_xlpm.total,256),256)&amp;"."&amp;MOD(_xlpm.total,256)))</f>
        <v>10.10.5.128</v>
      </c>
      <c r="T8" s="4" t="str" cm="1">
        <f t="array" ref="T8">IF(E8&lt;&gt;"Yes","",_xlfn.LET(_xlpm.ip,--_xlfn.TEXTSPLIT(S8,"."),_xlpm.n,O8-1,_xlpm.total,SUMPRODUCT(_xlpm.ip,{16777216,65536,256,1})+_xlpm.n,QUOTIENT(_xlpm.total,16777216)&amp;"."&amp;MOD(QUOTIENT(_xlpm.total,65536),256)&amp;"."&amp;MOD(QUOTIENT(_xlpm.total,256),256)&amp;"."&amp;MOD(_xlpm.total,256)))</f>
        <v>10.10.5.191</v>
      </c>
      <c r="U8" s="4" t="str">
        <f t="shared" si="9"/>
        <v>10.10.5.128</v>
      </c>
      <c r="V8" s="4" t="str" cm="1">
        <f t="array" ref="V8">IF(E8&lt;&gt;"Yes","",_xlfn.LET(_xlpm.ip,--_xlfn.TEXTSPLIT(S8,"."),_xlpm.total,SUMPRODUCT(_xlpm.ip,{16777216,65536,256,1})+1,QUOTIENT(_xlpm.total,16777216)&amp;"."&amp;MOD(QUOTIENT(_xlpm.total,65536),256)&amp;"."&amp;MOD(QUOTIENT(_xlpm.total,256),256)&amp;"."&amp;MOD(_xlpm.total,256)))</f>
        <v>10.10.5.129</v>
      </c>
      <c r="W8" s="4" t="str" cm="1">
        <f t="array" ref="W8">IF(E8&lt;&gt;"Yes","",_xlfn.LET(_xlpm.ip,--_xlfn.TEXTSPLIT(T8,"."),_xlpm.total,SUMPRODUCT(_xlpm.ip,{16777216,65536,256,1})-1,QUOTIENT(_xlpm.total,16777216)&amp;"."&amp;MOD(QUOTIENT(_xlpm.total,65536),256)&amp;"."&amp;MOD(QUOTIENT(_xlpm.total,256),256)&amp;"."&amp;MOD(_xlpm.total,256)))</f>
        <v>10.10.5.190</v>
      </c>
      <c r="X8" s="4" t="str">
        <f t="shared" si="10"/>
        <v>10.10.5.129</v>
      </c>
      <c r="Y8" s="4" t="str">
        <f t="shared" si="11"/>
        <v>10.10.5.128/26</v>
      </c>
      <c r="Z8" s="4" t="str" cm="1">
        <f t="array" ref="Z8">IF(OR(E8&lt;&gt;"Yes",F8&lt;&gt;"Yes"),"",_xlfn.LET(_xlpm.ip,--_xlfn.TEXTSPLIT(V8,"."),_xlpm.n,I8+1,_xlpm.total,SUMPRODUCT(_xlpm.ip,{16777216,65536,256,1})+_xlpm.n,QUOTIENT(_xlpm.total,16777216)&amp;"."&amp;MOD(QUOTIENT(_xlpm.total,65536),256)&amp;"."&amp;MOD(QUOTIENT(_xlpm.total,256),256)&amp;"."&amp;MOD(_xlpm.total,256)))</f>
        <v>10.10.5.130</v>
      </c>
      <c r="AA8" s="4" t="str">
        <f t="shared" si="12"/>
        <v>10.10.5.190</v>
      </c>
      <c r="AB8" s="4">
        <f t="shared" si="13"/>
        <v>61</v>
      </c>
      <c r="AC8" s="4" t="str" cm="1">
        <f t="array" ref="AC8">IF(OR(E8&lt;&gt;"Yes",F8&lt;&gt;"Yes"),"",_xlfn.LET(_xlpm.ip,--_xlfn.TEXTSPLIT(Z8,"."),_xlpm.total,SUMPRODUCT(_xlpm.ip,{16777216,65536,256,1})-1,_xlpm.last,QUOTIENT(_xlpm.total,16777216)&amp;"."&amp;MOD(QUOTIENT(_xlpm.total,65536),256)&amp;"."&amp;MOD(QUOTIENT(_xlpm.total,256),256)&amp;"."&amp;MOD(_xlpm.total,256),V8&amp;" - "&amp;_xlpm.last))</f>
        <v>10.10.5.129 - 10.10.5.129</v>
      </c>
      <c r="AE8" s="28"/>
      <c r="AF8" s="28"/>
      <c r="AG8" s="28"/>
      <c r="AH8" s="28"/>
    </row>
    <row r="9" spans="1:34">
      <c r="A9" s="3">
        <v>60</v>
      </c>
      <c r="B9" s="2" t="s">
        <v>44</v>
      </c>
      <c r="C9" s="2" t="s">
        <v>32</v>
      </c>
      <c r="D9" s="2" t="s">
        <v>45</v>
      </c>
      <c r="E9" s="3" t="s">
        <v>34</v>
      </c>
      <c r="F9" s="3" t="s">
        <v>34</v>
      </c>
      <c r="G9" s="1">
        <v>35</v>
      </c>
      <c r="H9" s="4">
        <f t="shared" si="0"/>
        <v>8.75</v>
      </c>
      <c r="I9" s="1">
        <v>0</v>
      </c>
      <c r="J9" s="4">
        <f t="shared" si="1"/>
        <v>44</v>
      </c>
      <c r="K9" s="4">
        <f t="shared" si="2"/>
        <v>26</v>
      </c>
      <c r="L9" s="4" t="str">
        <f t="shared" si="3"/>
        <v>/26</v>
      </c>
      <c r="M9" s="4">
        <f t="shared" si="4"/>
        <v>62</v>
      </c>
      <c r="N9" s="4">
        <f t="shared" si="5"/>
        <v>17</v>
      </c>
      <c r="O9" s="4">
        <f t="shared" si="6"/>
        <v>64</v>
      </c>
      <c r="P9" s="4" t="str">
        <f t="shared" si="7"/>
        <v>255.255.255.192</v>
      </c>
      <c r="Q9" s="4">
        <f t="shared" si="8"/>
        <v>64</v>
      </c>
      <c r="R9" s="4">
        <f>IF(E9&lt;&gt;"Yes","",COUNTIFS($C$4:$C$33,C9,$E$4:$E$33,"Yes",$O$4:$O$33,"&gt;"&amp;O9)+COUNTIFS($C$4:C9,C9,$E$4:E9,"Yes",$O$4:O9,O9))</f>
        <v>6</v>
      </c>
      <c r="S9" s="4" t="str" cm="1">
        <f t="array" ref="S9">IF(E9&lt;&gt;"Yes","",_xlfn.LET(_xlpm.base,IF(C9="SYD","10.10.0.0",IF(C9="CBR","10.20.0.0","")),_xlpm.ip,--_xlfn.TEXTSPLIT(_xlpm.base,"."),_xlpm.offset,SUMIFS($O$4:$O$33,$C$4:$C$33,C9,$E$4:$E$33,"Yes",$R$4:$R$33,"&lt;"&amp;R9),_xlpm.total,SUMPRODUCT(_xlpm.ip,{16777216,65536,256,1})+_xlpm.offset,QUOTIENT(_xlpm.total,16777216)&amp;"."&amp;MOD(QUOTIENT(_xlpm.total,65536),256)&amp;"."&amp;MOD(QUOTIENT(_xlpm.total,256),256)&amp;"."&amp;MOD(_xlpm.total,256)))</f>
        <v>10.10.5.192</v>
      </c>
      <c r="T9" s="4" t="str" cm="1">
        <f t="array" ref="T9">IF(E9&lt;&gt;"Yes","",_xlfn.LET(_xlpm.ip,--_xlfn.TEXTSPLIT(S9,"."),_xlpm.n,O9-1,_xlpm.total,SUMPRODUCT(_xlpm.ip,{16777216,65536,256,1})+_xlpm.n,QUOTIENT(_xlpm.total,16777216)&amp;"."&amp;MOD(QUOTIENT(_xlpm.total,65536),256)&amp;"."&amp;MOD(QUOTIENT(_xlpm.total,256),256)&amp;"."&amp;MOD(_xlpm.total,256)))</f>
        <v>10.10.5.255</v>
      </c>
      <c r="U9" s="4" t="str">
        <f t="shared" si="9"/>
        <v>10.10.5.192</v>
      </c>
      <c r="V9" s="4" t="str" cm="1">
        <f t="array" ref="V9">IF(E9&lt;&gt;"Yes","",_xlfn.LET(_xlpm.ip,--_xlfn.TEXTSPLIT(S9,"."),_xlpm.total,SUMPRODUCT(_xlpm.ip,{16777216,65536,256,1})+1,QUOTIENT(_xlpm.total,16777216)&amp;"."&amp;MOD(QUOTIENT(_xlpm.total,65536),256)&amp;"."&amp;MOD(QUOTIENT(_xlpm.total,256),256)&amp;"."&amp;MOD(_xlpm.total,256)))</f>
        <v>10.10.5.193</v>
      </c>
      <c r="W9" s="4" t="str" cm="1">
        <f t="array" ref="W9">IF(E9&lt;&gt;"Yes","",_xlfn.LET(_xlpm.ip,--_xlfn.TEXTSPLIT(T9,"."),_xlpm.total,SUMPRODUCT(_xlpm.ip,{16777216,65536,256,1})-1,QUOTIENT(_xlpm.total,16777216)&amp;"."&amp;MOD(QUOTIENT(_xlpm.total,65536),256)&amp;"."&amp;MOD(QUOTIENT(_xlpm.total,256),256)&amp;"."&amp;MOD(_xlpm.total,256)))</f>
        <v>10.10.5.254</v>
      </c>
      <c r="X9" s="4" t="str">
        <f t="shared" si="10"/>
        <v>10.10.5.193</v>
      </c>
      <c r="Y9" s="4" t="str">
        <f t="shared" si="11"/>
        <v>10.10.5.192/26</v>
      </c>
      <c r="Z9" s="4" t="str" cm="1">
        <f t="array" ref="Z9">IF(OR(E9&lt;&gt;"Yes",F9&lt;&gt;"Yes"),"",_xlfn.LET(_xlpm.ip,--_xlfn.TEXTSPLIT(V9,"."),_xlpm.n,I9+1,_xlpm.total,SUMPRODUCT(_xlpm.ip,{16777216,65536,256,1})+_xlpm.n,QUOTIENT(_xlpm.total,16777216)&amp;"."&amp;MOD(QUOTIENT(_xlpm.total,65536),256)&amp;"."&amp;MOD(QUOTIENT(_xlpm.total,256),256)&amp;"."&amp;MOD(_xlpm.total,256)))</f>
        <v>10.10.5.194</v>
      </c>
      <c r="AA9" s="4" t="str">
        <f t="shared" si="12"/>
        <v>10.10.5.254</v>
      </c>
      <c r="AB9" s="4">
        <f t="shared" si="13"/>
        <v>61</v>
      </c>
      <c r="AC9" s="4" t="str" cm="1">
        <f t="array" ref="AC9">IF(OR(E9&lt;&gt;"Yes",F9&lt;&gt;"Yes"),"",_xlfn.LET(_xlpm.ip,--_xlfn.TEXTSPLIT(Z9,"."),_xlpm.total,SUMPRODUCT(_xlpm.ip,{16777216,65536,256,1})-1,_xlpm.last,QUOTIENT(_xlpm.total,16777216)&amp;"."&amp;MOD(QUOTIENT(_xlpm.total,65536),256)&amp;"."&amp;MOD(QUOTIENT(_xlpm.total,256),256)&amp;"."&amp;MOD(_xlpm.total,256),V9&amp;" - "&amp;_xlpm.last))</f>
        <v>10.10.5.193 - 10.10.5.193</v>
      </c>
      <c r="AE9" s="28"/>
      <c r="AF9" s="28"/>
      <c r="AG9" s="28"/>
      <c r="AH9" s="28"/>
    </row>
    <row r="10" spans="1:34">
      <c r="A10" s="3">
        <v>70</v>
      </c>
      <c r="B10" s="2" t="s">
        <v>46</v>
      </c>
      <c r="C10" s="2" t="s">
        <v>32</v>
      </c>
      <c r="D10" s="2" t="s">
        <v>47</v>
      </c>
      <c r="E10" s="3" t="s">
        <v>34</v>
      </c>
      <c r="F10" s="3" t="s">
        <v>34</v>
      </c>
      <c r="G10" s="1">
        <v>24</v>
      </c>
      <c r="H10" s="4">
        <f t="shared" si="0"/>
        <v>6</v>
      </c>
      <c r="I10" s="1">
        <v>0</v>
      </c>
      <c r="J10" s="4">
        <f t="shared" si="1"/>
        <v>30</v>
      </c>
      <c r="K10" s="4">
        <f t="shared" si="2"/>
        <v>26</v>
      </c>
      <c r="L10" s="4" t="str">
        <f t="shared" si="3"/>
        <v>/26</v>
      </c>
      <c r="M10" s="4">
        <f t="shared" si="4"/>
        <v>62</v>
      </c>
      <c r="N10" s="4">
        <f t="shared" si="5"/>
        <v>31</v>
      </c>
      <c r="O10" s="4">
        <f t="shared" si="6"/>
        <v>64</v>
      </c>
      <c r="P10" s="4" t="str">
        <f t="shared" si="7"/>
        <v>255.255.255.192</v>
      </c>
      <c r="Q10" s="4">
        <f t="shared" si="8"/>
        <v>64</v>
      </c>
      <c r="R10" s="4">
        <f>IF(E10&lt;&gt;"Yes","",COUNTIFS($C$4:$C$33,C10,$E$4:$E$33,"Yes",$O$4:$O$33,"&gt;"&amp;O10)+COUNTIFS($C$4:C10,C10,$E$4:E10,"Yes",$O$4:O10,O10))</f>
        <v>7</v>
      </c>
      <c r="S10" s="4" t="str" cm="1">
        <f t="array" ref="S10">IF(E10&lt;&gt;"Yes","",_xlfn.LET(_xlpm.base,IF(C10="SYD","10.10.0.0",IF(C10="CBR","10.20.0.0","")),_xlpm.ip,--_xlfn.TEXTSPLIT(_xlpm.base,"."),_xlpm.offset,SUMIFS($O$4:$O$33,$C$4:$C$33,C10,$E$4:$E$33,"Yes",$R$4:$R$33,"&lt;"&amp;R10),_xlpm.total,SUMPRODUCT(_xlpm.ip,{16777216,65536,256,1})+_xlpm.offset,QUOTIENT(_xlpm.total,16777216)&amp;"."&amp;MOD(QUOTIENT(_xlpm.total,65536),256)&amp;"."&amp;MOD(QUOTIENT(_xlpm.total,256),256)&amp;"."&amp;MOD(_xlpm.total,256)))</f>
        <v>10.10.6.0</v>
      </c>
      <c r="T10" s="4" t="str" cm="1">
        <f t="array" ref="T10">IF(E10&lt;&gt;"Yes","",_xlfn.LET(_xlpm.ip,--_xlfn.TEXTSPLIT(S10,"."),_xlpm.n,O10-1,_xlpm.total,SUMPRODUCT(_xlpm.ip,{16777216,65536,256,1})+_xlpm.n,QUOTIENT(_xlpm.total,16777216)&amp;"."&amp;MOD(QUOTIENT(_xlpm.total,65536),256)&amp;"."&amp;MOD(QUOTIENT(_xlpm.total,256),256)&amp;"."&amp;MOD(_xlpm.total,256)))</f>
        <v>10.10.6.63</v>
      </c>
      <c r="U10" s="4" t="str">
        <f t="shared" si="9"/>
        <v>10.10.6.0</v>
      </c>
      <c r="V10" s="4" t="str" cm="1">
        <f t="array" ref="V10">IF(E10&lt;&gt;"Yes","",_xlfn.LET(_xlpm.ip,--_xlfn.TEXTSPLIT(S10,"."),_xlpm.total,SUMPRODUCT(_xlpm.ip,{16777216,65536,256,1})+1,QUOTIENT(_xlpm.total,16777216)&amp;"."&amp;MOD(QUOTIENT(_xlpm.total,65536),256)&amp;"."&amp;MOD(QUOTIENT(_xlpm.total,256),256)&amp;"."&amp;MOD(_xlpm.total,256)))</f>
        <v>10.10.6.1</v>
      </c>
      <c r="W10" s="4" t="str" cm="1">
        <f t="array" ref="W10">IF(E10&lt;&gt;"Yes","",_xlfn.LET(_xlpm.ip,--_xlfn.TEXTSPLIT(T10,"."),_xlpm.total,SUMPRODUCT(_xlpm.ip,{16777216,65536,256,1})-1,QUOTIENT(_xlpm.total,16777216)&amp;"."&amp;MOD(QUOTIENT(_xlpm.total,65536),256)&amp;"."&amp;MOD(QUOTIENT(_xlpm.total,256),256)&amp;"."&amp;MOD(_xlpm.total,256)))</f>
        <v>10.10.6.62</v>
      </c>
      <c r="X10" s="4" t="str">
        <f t="shared" si="10"/>
        <v>10.10.6.1</v>
      </c>
      <c r="Y10" s="4" t="str">
        <f t="shared" si="11"/>
        <v>10.10.6.0/26</v>
      </c>
      <c r="Z10" s="4" t="str" cm="1">
        <f t="array" ref="Z10">IF(OR(E10&lt;&gt;"Yes",F10&lt;&gt;"Yes"),"",_xlfn.LET(_xlpm.ip,--_xlfn.TEXTSPLIT(V10,"."),_xlpm.n,I10+1,_xlpm.total,SUMPRODUCT(_xlpm.ip,{16777216,65536,256,1})+_xlpm.n,QUOTIENT(_xlpm.total,16777216)&amp;"."&amp;MOD(QUOTIENT(_xlpm.total,65536),256)&amp;"."&amp;MOD(QUOTIENT(_xlpm.total,256),256)&amp;"."&amp;MOD(_xlpm.total,256)))</f>
        <v>10.10.6.2</v>
      </c>
      <c r="AA10" s="4" t="str">
        <f t="shared" si="12"/>
        <v>10.10.6.62</v>
      </c>
      <c r="AB10" s="4">
        <f t="shared" si="13"/>
        <v>61</v>
      </c>
      <c r="AC10" s="4" t="str" cm="1">
        <f t="array" ref="AC10">IF(OR(E10&lt;&gt;"Yes",F10&lt;&gt;"Yes"),"",_xlfn.LET(_xlpm.ip,--_xlfn.TEXTSPLIT(Z10,"."),_xlpm.total,SUMPRODUCT(_xlpm.ip,{16777216,65536,256,1})-1,_xlpm.last,QUOTIENT(_xlpm.total,16777216)&amp;"."&amp;MOD(QUOTIENT(_xlpm.total,65536),256)&amp;"."&amp;MOD(QUOTIENT(_xlpm.total,256),256)&amp;"."&amp;MOD(_xlpm.total,256),V10&amp;" - "&amp;_xlpm.last))</f>
        <v>10.10.6.1 - 10.10.6.1</v>
      </c>
      <c r="AE10" s="28"/>
      <c r="AF10" s="28"/>
      <c r="AG10" s="28"/>
      <c r="AH10" s="28"/>
    </row>
    <row r="11" spans="1:34">
      <c r="A11" s="3">
        <v>99</v>
      </c>
      <c r="B11" s="2" t="s">
        <v>48</v>
      </c>
      <c r="C11" s="2" t="s">
        <v>32</v>
      </c>
      <c r="D11" s="2" t="s">
        <v>49</v>
      </c>
      <c r="E11" s="3" t="s">
        <v>34</v>
      </c>
      <c r="F11" s="3" t="s">
        <v>37</v>
      </c>
      <c r="G11" s="1">
        <v>3</v>
      </c>
      <c r="H11" s="4">
        <f>G11*0.25</f>
        <v>0.75</v>
      </c>
      <c r="I11" s="1">
        <v>0</v>
      </c>
      <c r="J11" s="4">
        <f>ROUNDUP(G11+H11,0)</f>
        <v>4</v>
      </c>
      <c r="K11" s="4">
        <f t="shared" si="2"/>
        <v>29</v>
      </c>
      <c r="L11" s="4" t="str">
        <f t="shared" si="3"/>
        <v>/29</v>
      </c>
      <c r="M11" s="4">
        <f t="shared" si="4"/>
        <v>6</v>
      </c>
      <c r="N11" s="4">
        <f t="shared" si="5"/>
        <v>1</v>
      </c>
      <c r="O11" s="4">
        <f t="shared" si="6"/>
        <v>8</v>
      </c>
      <c r="P11" s="4" t="str">
        <f t="shared" si="7"/>
        <v>255.255.255.248</v>
      </c>
      <c r="Q11" s="4">
        <f t="shared" si="8"/>
        <v>8</v>
      </c>
      <c r="R11" s="4">
        <f>IF(E11&lt;&gt;"Yes","",COUNTIFS($C$4:$C$33,C11,$E$4:$E$33,"Yes",$O$4:$O$33,"&gt;"&amp;O11)+COUNTIFS($C$4:C11,C11,$E$4:E11,"Yes",$O$4:O11,O11))</f>
        <v>8</v>
      </c>
      <c r="S11" s="4" t="str" cm="1">
        <f t="array" ref="S11">IF(E11&lt;&gt;"Yes","",_xlfn.LET(_xlpm.base,IF(C11="SYD","10.10.0.0",IF(C11="CBR","10.20.0.0","")),_xlpm.ip,--_xlfn.TEXTSPLIT(_xlpm.base,"."),_xlpm.offset,SUMIFS($O$4:$O$33,$C$4:$C$33,C11,$E$4:$E$33,"Yes",$R$4:$R$33,"&lt;"&amp;R11),_xlpm.total,SUMPRODUCT(_xlpm.ip,{16777216,65536,256,1})+_xlpm.offset,QUOTIENT(_xlpm.total,16777216)&amp;"."&amp;MOD(QUOTIENT(_xlpm.total,65536),256)&amp;"."&amp;MOD(QUOTIENT(_xlpm.total,256),256)&amp;"."&amp;MOD(_xlpm.total,256)))</f>
        <v>10.10.6.64</v>
      </c>
      <c r="T11" s="4" t="str" cm="1">
        <f t="array" ref="T11">IF(E11&lt;&gt;"Yes","",_xlfn.LET(_xlpm.ip,--_xlfn.TEXTSPLIT(S11,"."),_xlpm.n,O11-1,_xlpm.total,SUMPRODUCT(_xlpm.ip,{16777216,65536,256,1})+_xlpm.n,QUOTIENT(_xlpm.total,16777216)&amp;"."&amp;MOD(QUOTIENT(_xlpm.total,65536),256)&amp;"."&amp;MOD(QUOTIENT(_xlpm.total,256),256)&amp;"."&amp;MOD(_xlpm.total,256)))</f>
        <v>10.10.6.71</v>
      </c>
      <c r="U11" s="4" t="str">
        <f t="shared" si="9"/>
        <v>10.10.6.64</v>
      </c>
      <c r="V11" s="4" t="str" cm="1">
        <f t="array" ref="V11">IF(E11&lt;&gt;"Yes","",_xlfn.LET(_xlpm.ip,--_xlfn.TEXTSPLIT(S11,"."),_xlpm.total,SUMPRODUCT(_xlpm.ip,{16777216,65536,256,1})+1,QUOTIENT(_xlpm.total,16777216)&amp;"."&amp;MOD(QUOTIENT(_xlpm.total,65536),256)&amp;"."&amp;MOD(QUOTIENT(_xlpm.total,256),256)&amp;"."&amp;MOD(_xlpm.total,256)))</f>
        <v>10.10.6.65</v>
      </c>
      <c r="W11" s="4" t="str" cm="1">
        <f t="array" ref="W11">IF(E11&lt;&gt;"Yes","",_xlfn.LET(_xlpm.ip,--_xlfn.TEXTSPLIT(T11,"."),_xlpm.total,SUMPRODUCT(_xlpm.ip,{16777216,65536,256,1})-1,QUOTIENT(_xlpm.total,16777216)&amp;"."&amp;MOD(QUOTIENT(_xlpm.total,65536),256)&amp;"."&amp;MOD(QUOTIENT(_xlpm.total,256),256)&amp;"."&amp;MOD(_xlpm.total,256)))</f>
        <v>10.10.6.70</v>
      </c>
      <c r="X11" s="4" t="str">
        <f t="shared" si="10"/>
        <v>10.10.6.65</v>
      </c>
      <c r="Y11" s="4" t="str">
        <f t="shared" si="11"/>
        <v>10.10.6.64/29</v>
      </c>
      <c r="Z11" s="4" t="str" cm="1">
        <f t="array" ref="Z11">IF(OR(E11&lt;&gt;"Yes",F11&lt;&gt;"Yes"),"",_xlfn.LET(_xlpm.ip,--_xlfn.TEXTSPLIT(V11,"."),_xlpm.n,I11+1,_xlpm.total,SUMPRODUCT(_xlpm.ip,{16777216,65536,256,1})+_xlpm.n,QUOTIENT(_xlpm.total,16777216)&amp;"."&amp;MOD(QUOTIENT(_xlpm.total,65536),256)&amp;"."&amp;MOD(QUOTIENT(_xlpm.total,256),256)&amp;"."&amp;MOD(_xlpm.total,256)))</f>
        <v/>
      </c>
      <c r="AA11" s="4" t="str">
        <f t="shared" si="12"/>
        <v/>
      </c>
      <c r="AB11" s="4" t="str">
        <f t="shared" si="13"/>
        <v/>
      </c>
      <c r="AC11" s="4" t="str" cm="1">
        <f t="array" ref="AC11">IF(OR(E11&lt;&gt;"Yes",F11&lt;&gt;"Yes"),"",_xlfn.LET(_xlpm.ip,--_xlfn.TEXTSPLIT(Z11,"."),_xlpm.total,SUMPRODUCT(_xlpm.ip,{16777216,65536,256,1})-1,_xlpm.last,QUOTIENT(_xlpm.total,16777216)&amp;"."&amp;MOD(QUOTIENT(_xlpm.total,65536),256)&amp;"."&amp;MOD(QUOTIENT(_xlpm.total,256),256)&amp;"."&amp;MOD(_xlpm.total,256),V11&amp;" - "&amp;_xlpm.last))</f>
        <v/>
      </c>
      <c r="AE11" s="28"/>
      <c r="AF11" s="28"/>
      <c r="AG11" s="28"/>
      <c r="AH11" s="28"/>
    </row>
    <row r="12" spans="1:34">
      <c r="A12" s="3">
        <v>998</v>
      </c>
      <c r="B12" s="2" t="s">
        <v>50</v>
      </c>
      <c r="C12" s="2" t="s">
        <v>32</v>
      </c>
      <c r="D12" s="2" t="s">
        <v>51</v>
      </c>
      <c r="E12" s="3" t="s">
        <v>37</v>
      </c>
      <c r="F12" s="3" t="s">
        <v>37</v>
      </c>
      <c r="G12" s="1"/>
      <c r="H12" s="4">
        <f t="shared" si="0"/>
        <v>0</v>
      </c>
      <c r="I12" s="1">
        <v>0</v>
      </c>
      <c r="J12" s="4">
        <f t="shared" si="1"/>
        <v>0</v>
      </c>
      <c r="K12" s="4" t="str">
        <f t="shared" si="2"/>
        <v/>
      </c>
      <c r="L12" s="4" t="str">
        <f t="shared" si="3"/>
        <v/>
      </c>
      <c r="M12" s="4" t="str">
        <f t="shared" si="4"/>
        <v/>
      </c>
      <c r="N12" s="4" t="str">
        <f t="shared" si="5"/>
        <v/>
      </c>
      <c r="O12" s="4" t="str">
        <f t="shared" si="6"/>
        <v/>
      </c>
      <c r="P12" s="4" t="str">
        <f t="shared" si="7"/>
        <v/>
      </c>
      <c r="Q12" s="4" t="str">
        <f t="shared" si="8"/>
        <v/>
      </c>
      <c r="R12" s="4" t="str">
        <f>IF(E12&lt;&gt;"Yes","",COUNTIFS($C$4:$C$33,C12,$E$4:$E$33,"Yes",$O$4:$O$33,"&gt;"&amp;O12)+COUNTIFS($C$4:C12,C12,$E$4:E12,"Yes",$O$4:O12,O12))</f>
        <v/>
      </c>
      <c r="S12" s="4" t="str" cm="1">
        <f t="array" ref="S12">IF(E12&lt;&gt;"Yes","",_xlfn.LET(_xlpm.base,IF(C12="SYD","10.10.0.0",IF(C12="CBR","10.20.0.0","")),_xlpm.ip,--_xlfn.TEXTSPLIT(_xlpm.base,"."),_xlpm.offset,SUMIFS($O$4:$O$33,$C$4:$C$33,C12,$E$4:$E$33,"Yes",$R$4:$R$33,"&lt;"&amp;R12),_xlpm.total,SUMPRODUCT(_xlpm.ip,{16777216,65536,256,1})+_xlpm.offset,QUOTIENT(_xlpm.total,16777216)&amp;"."&amp;MOD(QUOTIENT(_xlpm.total,65536),256)&amp;"."&amp;MOD(QUOTIENT(_xlpm.total,256),256)&amp;"."&amp;MOD(_xlpm.total,256)))</f>
        <v/>
      </c>
      <c r="T12" s="4" t="str" cm="1">
        <f t="array" ref="T12">IF(E12&lt;&gt;"Yes","",_xlfn.LET(_xlpm.ip,--_xlfn.TEXTSPLIT(S12,"."),_xlpm.n,O12-1,_xlpm.total,SUMPRODUCT(_xlpm.ip,{16777216,65536,256,1})+_xlpm.n,QUOTIENT(_xlpm.total,16777216)&amp;"."&amp;MOD(QUOTIENT(_xlpm.total,65536),256)&amp;"."&amp;MOD(QUOTIENT(_xlpm.total,256),256)&amp;"."&amp;MOD(_xlpm.total,256)))</f>
        <v/>
      </c>
      <c r="U12" s="4" t="str">
        <f t="shared" si="9"/>
        <v/>
      </c>
      <c r="V12" s="4" t="str" cm="1">
        <f t="array" ref="V12">IF(E12&lt;&gt;"Yes","",_xlfn.LET(_xlpm.ip,--_xlfn.TEXTSPLIT(S12,"."),_xlpm.total,SUMPRODUCT(_xlpm.ip,{16777216,65536,256,1})+1,QUOTIENT(_xlpm.total,16777216)&amp;"."&amp;MOD(QUOTIENT(_xlpm.total,65536),256)&amp;"."&amp;MOD(QUOTIENT(_xlpm.total,256),256)&amp;"."&amp;MOD(_xlpm.total,256)))</f>
        <v/>
      </c>
      <c r="W12" s="4" t="str" cm="1">
        <f t="array" ref="W12">IF(E12&lt;&gt;"Yes","",_xlfn.LET(_xlpm.ip,--_xlfn.TEXTSPLIT(T12,"."),_xlpm.total,SUMPRODUCT(_xlpm.ip,{16777216,65536,256,1})-1,QUOTIENT(_xlpm.total,16777216)&amp;"."&amp;MOD(QUOTIENT(_xlpm.total,65536),256)&amp;"."&amp;MOD(QUOTIENT(_xlpm.total,256),256)&amp;"."&amp;MOD(_xlpm.total,256)))</f>
        <v/>
      </c>
      <c r="X12" s="4" t="str">
        <f t="shared" si="10"/>
        <v/>
      </c>
      <c r="Y12" s="4" t="str">
        <f t="shared" si="11"/>
        <v/>
      </c>
      <c r="Z12" s="4" t="str" cm="1">
        <f t="array" ref="Z12">IF(OR(E12&lt;&gt;"Yes",F12&lt;&gt;"Yes"),"",_xlfn.LET(_xlpm.ip,--_xlfn.TEXTSPLIT(V12,"."),_xlpm.n,I12+1,_xlpm.total,SUMPRODUCT(_xlpm.ip,{16777216,65536,256,1})+_xlpm.n,QUOTIENT(_xlpm.total,16777216)&amp;"."&amp;MOD(QUOTIENT(_xlpm.total,65536),256)&amp;"."&amp;MOD(QUOTIENT(_xlpm.total,256),256)&amp;"."&amp;MOD(_xlpm.total,256)))</f>
        <v/>
      </c>
      <c r="AA12" s="4" t="str">
        <f t="shared" si="12"/>
        <v/>
      </c>
      <c r="AB12" s="4" t="str">
        <f t="shared" si="13"/>
        <v/>
      </c>
      <c r="AC12" s="4" t="str" cm="1">
        <f t="array" ref="AC12">IF(OR(E12&lt;&gt;"Yes",F12&lt;&gt;"Yes"),"",_xlfn.LET(_xlpm.ip,--_xlfn.TEXTSPLIT(Z12,"."),_xlpm.total,SUMPRODUCT(_xlpm.ip,{16777216,65536,256,1})-1,_xlpm.last,QUOTIENT(_xlpm.total,16777216)&amp;"."&amp;MOD(QUOTIENT(_xlpm.total,65536),256)&amp;"."&amp;MOD(QUOTIENT(_xlpm.total,256),256)&amp;"."&amp;MOD(_xlpm.total,256),V12&amp;" - "&amp;_xlpm.last))</f>
        <v/>
      </c>
    </row>
    <row r="13" spans="1:34">
      <c r="A13" s="3">
        <v>999</v>
      </c>
      <c r="B13" s="2" t="s">
        <v>52</v>
      </c>
      <c r="C13" s="2" t="s">
        <v>32</v>
      </c>
      <c r="D13" s="2" t="s">
        <v>53</v>
      </c>
      <c r="E13" s="3" t="s">
        <v>37</v>
      </c>
      <c r="F13" s="3" t="s">
        <v>37</v>
      </c>
      <c r="G13" s="1"/>
      <c r="H13" s="4">
        <f t="shared" si="0"/>
        <v>0</v>
      </c>
      <c r="I13" s="1">
        <v>0</v>
      </c>
      <c r="J13" s="4">
        <f t="shared" si="1"/>
        <v>0</v>
      </c>
      <c r="K13" s="4" t="str">
        <f t="shared" si="2"/>
        <v/>
      </c>
      <c r="L13" s="4" t="str">
        <f t="shared" si="3"/>
        <v/>
      </c>
      <c r="M13" s="4" t="str">
        <f t="shared" si="4"/>
        <v/>
      </c>
      <c r="N13" s="4" t="str">
        <f t="shared" si="5"/>
        <v/>
      </c>
      <c r="O13" s="4" t="str">
        <f t="shared" si="6"/>
        <v/>
      </c>
      <c r="P13" s="4" t="str">
        <f t="shared" si="7"/>
        <v/>
      </c>
      <c r="Q13" s="4" t="str">
        <f t="shared" si="8"/>
        <v/>
      </c>
      <c r="R13" s="4" t="str">
        <f>IF(E13&lt;&gt;"Yes","",COUNTIFS($C$4:$C$33,C13,$E$4:$E$33,"Yes",$O$4:$O$33,"&gt;"&amp;O13)+COUNTIFS($C$4:C13,C13,$E$4:E13,"Yes",$O$4:O13,O13))</f>
        <v/>
      </c>
      <c r="S13" s="4" t="str" cm="1">
        <f t="array" ref="S13">IF(E13&lt;&gt;"Yes","",_xlfn.LET(_xlpm.base,IF(C13="SYD","10.10.0.0",IF(C13="CBR","10.20.0.0","")),_xlpm.ip,--_xlfn.TEXTSPLIT(_xlpm.base,"."),_xlpm.offset,SUMIFS($O$4:$O$33,$C$4:$C$33,C13,$E$4:$E$33,"Yes",$R$4:$R$33,"&lt;"&amp;R13),_xlpm.total,SUMPRODUCT(_xlpm.ip,{16777216,65536,256,1})+_xlpm.offset,QUOTIENT(_xlpm.total,16777216)&amp;"."&amp;MOD(QUOTIENT(_xlpm.total,65536),256)&amp;"."&amp;MOD(QUOTIENT(_xlpm.total,256),256)&amp;"."&amp;MOD(_xlpm.total,256)))</f>
        <v/>
      </c>
      <c r="T13" s="4" t="str" cm="1">
        <f t="array" ref="T13">IF(E13&lt;&gt;"Yes","",_xlfn.LET(_xlpm.ip,--_xlfn.TEXTSPLIT(S13,"."),_xlpm.n,O13-1,_xlpm.total,SUMPRODUCT(_xlpm.ip,{16777216,65536,256,1})+_xlpm.n,QUOTIENT(_xlpm.total,16777216)&amp;"."&amp;MOD(QUOTIENT(_xlpm.total,65536),256)&amp;"."&amp;MOD(QUOTIENT(_xlpm.total,256),256)&amp;"."&amp;MOD(_xlpm.total,256)))</f>
        <v/>
      </c>
      <c r="U13" s="4" t="str">
        <f t="shared" si="9"/>
        <v/>
      </c>
      <c r="V13" s="4" t="str" cm="1">
        <f t="array" ref="V13">IF(E13&lt;&gt;"Yes","",_xlfn.LET(_xlpm.ip,--_xlfn.TEXTSPLIT(S13,"."),_xlpm.total,SUMPRODUCT(_xlpm.ip,{16777216,65536,256,1})+1,QUOTIENT(_xlpm.total,16777216)&amp;"."&amp;MOD(QUOTIENT(_xlpm.total,65536),256)&amp;"."&amp;MOD(QUOTIENT(_xlpm.total,256),256)&amp;"."&amp;MOD(_xlpm.total,256)))</f>
        <v/>
      </c>
      <c r="W13" s="4" t="str" cm="1">
        <f t="array" ref="W13">IF(E13&lt;&gt;"Yes","",_xlfn.LET(_xlpm.ip,--_xlfn.TEXTSPLIT(T13,"."),_xlpm.total,SUMPRODUCT(_xlpm.ip,{16777216,65536,256,1})-1,QUOTIENT(_xlpm.total,16777216)&amp;"."&amp;MOD(QUOTIENT(_xlpm.total,65536),256)&amp;"."&amp;MOD(QUOTIENT(_xlpm.total,256),256)&amp;"."&amp;MOD(_xlpm.total,256)))</f>
        <v/>
      </c>
      <c r="X13" s="4" t="str">
        <f t="shared" si="10"/>
        <v/>
      </c>
      <c r="Y13" s="4" t="str">
        <f t="shared" si="11"/>
        <v/>
      </c>
      <c r="Z13" s="4" t="str" cm="1">
        <f t="array" ref="Z13">IF(OR(E13&lt;&gt;"Yes",F13&lt;&gt;"Yes"),"",_xlfn.LET(_xlpm.ip,--_xlfn.TEXTSPLIT(V13,"."),_xlpm.n,I13+1,_xlpm.total,SUMPRODUCT(_xlpm.ip,{16777216,65536,256,1})+_xlpm.n,QUOTIENT(_xlpm.total,16777216)&amp;"."&amp;MOD(QUOTIENT(_xlpm.total,65536),256)&amp;"."&amp;MOD(QUOTIENT(_xlpm.total,256),256)&amp;"."&amp;MOD(_xlpm.total,256)))</f>
        <v/>
      </c>
      <c r="AA13" s="4" t="str">
        <f t="shared" si="12"/>
        <v/>
      </c>
      <c r="AB13" s="4" t="str">
        <f t="shared" si="13"/>
        <v/>
      </c>
      <c r="AC13" s="4" t="str" cm="1">
        <f t="array" ref="AC13">IF(OR(E13&lt;&gt;"Yes",F13&lt;&gt;"Yes"),"",_xlfn.LET(_xlpm.ip,--_xlfn.TEXTSPLIT(Z13,"."),_xlpm.total,SUMPRODUCT(_xlpm.ip,{16777216,65536,256,1})-1,_xlpm.last,QUOTIENT(_xlpm.total,16777216)&amp;"."&amp;MOD(QUOTIENT(_xlpm.total,65536),256)&amp;"."&amp;MOD(QUOTIENT(_xlpm.total,256),256)&amp;"."&amp;MOD(_xlpm.total,256),V13&amp;" - "&amp;_xlpm.last))</f>
        <v/>
      </c>
    </row>
    <row r="14" spans="1:34" hidden="1">
      <c r="A14" s="3"/>
      <c r="B14" s="2"/>
      <c r="C14" s="2"/>
      <c r="D14" s="2"/>
      <c r="E14" s="3" t="s">
        <v>37</v>
      </c>
      <c r="F14" s="3" t="s">
        <v>37</v>
      </c>
      <c r="G14" s="1"/>
      <c r="H14" s="4">
        <f t="shared" si="0"/>
        <v>0</v>
      </c>
      <c r="I14" s="1">
        <v>0</v>
      </c>
      <c r="J14" s="4">
        <f t="shared" si="1"/>
        <v>0</v>
      </c>
      <c r="K14" s="4" t="str">
        <f t="shared" si="2"/>
        <v/>
      </c>
      <c r="L14" s="4" t="str">
        <f t="shared" si="3"/>
        <v/>
      </c>
      <c r="M14" s="4" t="str">
        <f t="shared" si="4"/>
        <v/>
      </c>
      <c r="N14" s="4" t="str">
        <f t="shared" si="5"/>
        <v/>
      </c>
      <c r="O14" s="4" t="str">
        <f t="shared" si="6"/>
        <v/>
      </c>
      <c r="P14" s="4" t="str">
        <f t="shared" si="7"/>
        <v/>
      </c>
      <c r="Q14" s="4" t="str">
        <f t="shared" si="8"/>
        <v/>
      </c>
      <c r="R14" s="4" t="str">
        <f>IF(E14&lt;&gt;"Yes","",COUNTIFS($C$4:$C$33,C14,$E$4:$E$33,"Yes",$O$4:$O$33,"&gt;"&amp;O14)+COUNTIFS($C$4:C14,C14,$E$4:E14,"Yes",$O$4:O14,O14))</f>
        <v/>
      </c>
      <c r="S14" s="4" t="str" cm="1">
        <f t="array" ref="S14">IF(E14&lt;&gt;"Yes","",_xlfn.LET(_xlpm.base,IF(C14="SYD","10.10.0.0",IF(C14="CBR","10.20.0.0","")),_xlpm.ip,--_xlfn.TEXTSPLIT(_xlpm.base,"."),_xlpm.offset,SUMIFS($O$4:$O$33,$C$4:$C$33,C14,$E$4:$E$33,"Yes",$R$4:$R$33,"&lt;"&amp;R14),_xlpm.total,SUMPRODUCT(_xlpm.ip,{16777216,65536,256,1})+_xlpm.offset,QUOTIENT(_xlpm.total,16777216)&amp;"."&amp;MOD(QUOTIENT(_xlpm.total,65536),256)&amp;"."&amp;MOD(QUOTIENT(_xlpm.total,256),256)&amp;"."&amp;MOD(_xlpm.total,256)))</f>
        <v/>
      </c>
      <c r="T14" s="4" t="str" cm="1">
        <f t="array" ref="T14">IF(E14&lt;&gt;"Yes","",_xlfn.LET(_xlpm.ip,--_xlfn.TEXTSPLIT(S14,"."),_xlpm.n,O14-1,_xlpm.total,SUMPRODUCT(_xlpm.ip,{16777216,65536,256,1})+_xlpm.n,QUOTIENT(_xlpm.total,16777216)&amp;"."&amp;MOD(QUOTIENT(_xlpm.total,65536),256)&amp;"."&amp;MOD(QUOTIENT(_xlpm.total,256),256)&amp;"."&amp;MOD(_xlpm.total,256)))</f>
        <v/>
      </c>
      <c r="U14" s="4" t="str">
        <f t="shared" si="9"/>
        <v/>
      </c>
      <c r="V14" s="4" t="str" cm="1">
        <f t="array" ref="V14">IF(E14&lt;&gt;"Yes","",_xlfn.LET(_xlpm.ip,--_xlfn.TEXTSPLIT(S14,"."),_xlpm.total,SUMPRODUCT(_xlpm.ip,{16777216,65536,256,1})+1,QUOTIENT(_xlpm.total,16777216)&amp;"."&amp;MOD(QUOTIENT(_xlpm.total,65536),256)&amp;"."&amp;MOD(QUOTIENT(_xlpm.total,256),256)&amp;"."&amp;MOD(_xlpm.total,256)))</f>
        <v/>
      </c>
      <c r="W14" s="4" t="str" cm="1">
        <f t="array" ref="W14">IF(E14&lt;&gt;"Yes","",_xlfn.LET(_xlpm.ip,--_xlfn.TEXTSPLIT(T14,"."),_xlpm.total,SUMPRODUCT(_xlpm.ip,{16777216,65536,256,1})-1,QUOTIENT(_xlpm.total,16777216)&amp;"."&amp;MOD(QUOTIENT(_xlpm.total,65536),256)&amp;"."&amp;MOD(QUOTIENT(_xlpm.total,256),256)&amp;"."&amp;MOD(_xlpm.total,256)))</f>
        <v/>
      </c>
      <c r="X14" s="4" t="str">
        <f t="shared" si="10"/>
        <v/>
      </c>
      <c r="Y14" s="4" t="str">
        <f t="shared" si="11"/>
        <v/>
      </c>
      <c r="Z14" s="4" t="str" cm="1">
        <f t="array" ref="Z14">IF(OR(E14&lt;&gt;"Yes",F14&lt;&gt;"Yes"),"",_xlfn.LET(_xlpm.ip,--_xlfn.TEXTSPLIT(V14,"."),_xlpm.n,I14+1,_xlpm.total,SUMPRODUCT(_xlpm.ip,{16777216,65536,256,1})+_xlpm.n,QUOTIENT(_xlpm.total,16777216)&amp;"."&amp;MOD(QUOTIENT(_xlpm.total,65536),256)&amp;"."&amp;MOD(QUOTIENT(_xlpm.total,256),256)&amp;"."&amp;MOD(_xlpm.total,256)))</f>
        <v/>
      </c>
      <c r="AA14" s="4" t="str">
        <f t="shared" si="12"/>
        <v/>
      </c>
      <c r="AB14" s="4" t="str">
        <f t="shared" si="13"/>
        <v/>
      </c>
      <c r="AC14" s="4" t="str" cm="1">
        <f t="array" ref="AC14">IF(OR(E14&lt;&gt;"Yes",F14&lt;&gt;"Yes"),"",_xlfn.LET(_xlpm.ip,--_xlfn.TEXTSPLIT(Z14,"."),_xlpm.total,SUMPRODUCT(_xlpm.ip,{16777216,65536,256,1})-1,_xlpm.last,QUOTIENT(_xlpm.total,16777216)&amp;"."&amp;MOD(QUOTIENT(_xlpm.total,65536),256)&amp;"."&amp;MOD(QUOTIENT(_xlpm.total,256),256)&amp;"."&amp;MOD(_xlpm.total,256),V14&amp;" - "&amp;_xlpm.last))</f>
        <v/>
      </c>
    </row>
    <row r="15" spans="1:34" hidden="1">
      <c r="A15" s="3"/>
      <c r="B15" s="2"/>
      <c r="C15" s="2"/>
      <c r="D15" s="2"/>
      <c r="E15" s="3" t="s">
        <v>37</v>
      </c>
      <c r="F15" s="3" t="s">
        <v>37</v>
      </c>
      <c r="G15" s="1"/>
      <c r="H15" s="4">
        <f t="shared" si="0"/>
        <v>0</v>
      </c>
      <c r="I15" s="1">
        <v>0</v>
      </c>
      <c r="J15" s="4">
        <f t="shared" si="1"/>
        <v>0</v>
      </c>
      <c r="K15" s="4" t="str">
        <f t="shared" si="2"/>
        <v/>
      </c>
      <c r="L15" s="4" t="str">
        <f t="shared" si="3"/>
        <v/>
      </c>
      <c r="M15" s="4" t="str">
        <f t="shared" si="4"/>
        <v/>
      </c>
      <c r="N15" s="4" t="str">
        <f t="shared" si="5"/>
        <v/>
      </c>
      <c r="O15" s="4" t="str">
        <f t="shared" si="6"/>
        <v/>
      </c>
      <c r="P15" s="4" t="str">
        <f t="shared" si="7"/>
        <v/>
      </c>
      <c r="Q15" s="4" t="str">
        <f t="shared" si="8"/>
        <v/>
      </c>
      <c r="R15" s="4" t="str">
        <f>IF(E15&lt;&gt;"Yes","",COUNTIFS($C$4:$C$33,C15,$E$4:$E$33,"Yes",$O$4:$O$33,"&gt;"&amp;O15)+COUNTIFS($C$4:C15,C15,$E$4:E15,"Yes",$O$4:O15,O15))</f>
        <v/>
      </c>
      <c r="S15" s="4" t="str" cm="1">
        <f t="array" ref="S15">IF(E15&lt;&gt;"Yes","",_xlfn.LET(_xlpm.base,IF(C15="SYD","10.10.0.0",IF(C15="CBR","10.20.0.0","")),_xlpm.ip,--_xlfn.TEXTSPLIT(_xlpm.base,"."),_xlpm.offset,SUMIFS($O$4:$O$33,$C$4:$C$33,C15,$E$4:$E$33,"Yes",$R$4:$R$33,"&lt;"&amp;R15),_xlpm.total,SUMPRODUCT(_xlpm.ip,{16777216,65536,256,1})+_xlpm.offset,QUOTIENT(_xlpm.total,16777216)&amp;"."&amp;MOD(QUOTIENT(_xlpm.total,65536),256)&amp;"."&amp;MOD(QUOTIENT(_xlpm.total,256),256)&amp;"."&amp;MOD(_xlpm.total,256)))</f>
        <v/>
      </c>
      <c r="T15" s="4" t="str" cm="1">
        <f t="array" ref="T15">IF(E15&lt;&gt;"Yes","",_xlfn.LET(_xlpm.ip,--_xlfn.TEXTSPLIT(S15,"."),_xlpm.n,O15-1,_xlpm.total,SUMPRODUCT(_xlpm.ip,{16777216,65536,256,1})+_xlpm.n,QUOTIENT(_xlpm.total,16777216)&amp;"."&amp;MOD(QUOTIENT(_xlpm.total,65536),256)&amp;"."&amp;MOD(QUOTIENT(_xlpm.total,256),256)&amp;"."&amp;MOD(_xlpm.total,256)))</f>
        <v/>
      </c>
      <c r="U15" s="4" t="str">
        <f t="shared" si="9"/>
        <v/>
      </c>
      <c r="V15" s="4" t="str" cm="1">
        <f t="array" ref="V15">IF(E15&lt;&gt;"Yes","",_xlfn.LET(_xlpm.ip,--_xlfn.TEXTSPLIT(S15,"."),_xlpm.total,SUMPRODUCT(_xlpm.ip,{16777216,65536,256,1})+1,QUOTIENT(_xlpm.total,16777216)&amp;"."&amp;MOD(QUOTIENT(_xlpm.total,65536),256)&amp;"."&amp;MOD(QUOTIENT(_xlpm.total,256),256)&amp;"."&amp;MOD(_xlpm.total,256)))</f>
        <v/>
      </c>
      <c r="W15" s="4" t="str" cm="1">
        <f t="array" ref="W15">IF(E15&lt;&gt;"Yes","",_xlfn.LET(_xlpm.ip,--_xlfn.TEXTSPLIT(T15,"."),_xlpm.total,SUMPRODUCT(_xlpm.ip,{16777216,65536,256,1})-1,QUOTIENT(_xlpm.total,16777216)&amp;"."&amp;MOD(QUOTIENT(_xlpm.total,65536),256)&amp;"."&amp;MOD(QUOTIENT(_xlpm.total,256),256)&amp;"."&amp;MOD(_xlpm.total,256)))</f>
        <v/>
      </c>
      <c r="X15" s="4" t="str">
        <f t="shared" si="10"/>
        <v/>
      </c>
      <c r="Y15" s="4" t="str">
        <f t="shared" si="11"/>
        <v/>
      </c>
      <c r="Z15" s="4" t="str" cm="1">
        <f t="array" ref="Z15">IF(OR(E15&lt;&gt;"Yes",F15&lt;&gt;"Yes"),"",_xlfn.LET(_xlpm.ip,--_xlfn.TEXTSPLIT(V15,"."),_xlpm.n,I15+1,_xlpm.total,SUMPRODUCT(_xlpm.ip,{16777216,65536,256,1})+_xlpm.n,QUOTIENT(_xlpm.total,16777216)&amp;"."&amp;MOD(QUOTIENT(_xlpm.total,65536),256)&amp;"."&amp;MOD(QUOTIENT(_xlpm.total,256),256)&amp;"."&amp;MOD(_xlpm.total,256)))</f>
        <v/>
      </c>
      <c r="AA15" s="4" t="str">
        <f t="shared" si="12"/>
        <v/>
      </c>
      <c r="AB15" s="4" t="str">
        <f t="shared" si="13"/>
        <v/>
      </c>
      <c r="AC15" s="4" t="str" cm="1">
        <f t="array" ref="AC15">IF(OR(E15&lt;&gt;"Yes",F15&lt;&gt;"Yes"),"",_xlfn.LET(_xlpm.ip,--_xlfn.TEXTSPLIT(Z15,"."),_xlpm.total,SUMPRODUCT(_xlpm.ip,{16777216,65536,256,1})-1,_xlpm.last,QUOTIENT(_xlpm.total,16777216)&amp;"."&amp;MOD(QUOTIENT(_xlpm.total,65536),256)&amp;"."&amp;MOD(QUOTIENT(_xlpm.total,256),256)&amp;"."&amp;MOD(_xlpm.total,256),V15&amp;" - "&amp;_xlpm.last))</f>
        <v/>
      </c>
    </row>
    <row r="16" spans="1:34" hidden="1">
      <c r="A16" s="3"/>
      <c r="B16" s="2"/>
      <c r="C16" s="2"/>
      <c r="D16" s="2"/>
      <c r="E16" s="3" t="s">
        <v>37</v>
      </c>
      <c r="F16" s="3" t="s">
        <v>37</v>
      </c>
      <c r="G16" s="1"/>
      <c r="H16" s="4">
        <f t="shared" si="0"/>
        <v>0</v>
      </c>
      <c r="I16" s="1">
        <v>0</v>
      </c>
      <c r="J16" s="4">
        <f t="shared" si="1"/>
        <v>0</v>
      </c>
      <c r="K16" s="4" t="str">
        <f t="shared" si="2"/>
        <v/>
      </c>
      <c r="L16" s="4" t="str">
        <f t="shared" si="3"/>
        <v/>
      </c>
      <c r="M16" s="4" t="str">
        <f t="shared" si="4"/>
        <v/>
      </c>
      <c r="N16" s="4" t="str">
        <f t="shared" si="5"/>
        <v/>
      </c>
      <c r="O16" s="4" t="str">
        <f t="shared" si="6"/>
        <v/>
      </c>
      <c r="P16" s="4" t="str">
        <f t="shared" si="7"/>
        <v/>
      </c>
      <c r="Q16" s="4" t="str">
        <f t="shared" si="8"/>
        <v/>
      </c>
      <c r="R16" s="4" t="str">
        <f>IF(E16&lt;&gt;"Yes","",COUNTIFS($C$4:$C$33,C16,$E$4:$E$33,"Yes",$O$4:$O$33,"&gt;"&amp;O16)+COUNTIFS($C$4:C16,C16,$E$4:E16,"Yes",$O$4:O16,O16))</f>
        <v/>
      </c>
      <c r="S16" s="4" t="str" cm="1">
        <f t="array" ref="S16">IF(E16&lt;&gt;"Yes","",_xlfn.LET(_xlpm.base,IF(C16="SYD","10.10.0.0",IF(C16="CBR","10.20.0.0","")),_xlpm.ip,--_xlfn.TEXTSPLIT(_xlpm.base,"."),_xlpm.offset,SUMIFS($O$4:$O$33,$C$4:$C$33,C16,$E$4:$E$33,"Yes",$R$4:$R$33,"&lt;"&amp;R16),_xlpm.total,SUMPRODUCT(_xlpm.ip,{16777216,65536,256,1})+_xlpm.offset,QUOTIENT(_xlpm.total,16777216)&amp;"."&amp;MOD(QUOTIENT(_xlpm.total,65536),256)&amp;"."&amp;MOD(QUOTIENT(_xlpm.total,256),256)&amp;"."&amp;MOD(_xlpm.total,256)))</f>
        <v/>
      </c>
      <c r="T16" s="4" t="str" cm="1">
        <f t="array" ref="T16">IF(E16&lt;&gt;"Yes","",_xlfn.LET(_xlpm.ip,--_xlfn.TEXTSPLIT(S16,"."),_xlpm.n,O16-1,_xlpm.total,SUMPRODUCT(_xlpm.ip,{16777216,65536,256,1})+_xlpm.n,QUOTIENT(_xlpm.total,16777216)&amp;"."&amp;MOD(QUOTIENT(_xlpm.total,65536),256)&amp;"."&amp;MOD(QUOTIENT(_xlpm.total,256),256)&amp;"."&amp;MOD(_xlpm.total,256)))</f>
        <v/>
      </c>
      <c r="U16" s="4" t="str">
        <f t="shared" si="9"/>
        <v/>
      </c>
      <c r="V16" s="4" t="str" cm="1">
        <f t="array" ref="V16">IF(E16&lt;&gt;"Yes","",_xlfn.LET(_xlpm.ip,--_xlfn.TEXTSPLIT(S16,"."),_xlpm.total,SUMPRODUCT(_xlpm.ip,{16777216,65536,256,1})+1,QUOTIENT(_xlpm.total,16777216)&amp;"."&amp;MOD(QUOTIENT(_xlpm.total,65536),256)&amp;"."&amp;MOD(QUOTIENT(_xlpm.total,256),256)&amp;"."&amp;MOD(_xlpm.total,256)))</f>
        <v/>
      </c>
      <c r="W16" s="4" t="str" cm="1">
        <f t="array" ref="W16">IF(E16&lt;&gt;"Yes","",_xlfn.LET(_xlpm.ip,--_xlfn.TEXTSPLIT(T16,"."),_xlpm.total,SUMPRODUCT(_xlpm.ip,{16777216,65536,256,1})-1,QUOTIENT(_xlpm.total,16777216)&amp;"."&amp;MOD(QUOTIENT(_xlpm.total,65536),256)&amp;"."&amp;MOD(QUOTIENT(_xlpm.total,256),256)&amp;"."&amp;MOD(_xlpm.total,256)))</f>
        <v/>
      </c>
      <c r="X16" s="4" t="str">
        <f t="shared" si="10"/>
        <v/>
      </c>
      <c r="Y16" s="4" t="str">
        <f t="shared" si="11"/>
        <v/>
      </c>
      <c r="Z16" s="4" t="str" cm="1">
        <f t="array" ref="Z16">IF(OR(E16&lt;&gt;"Yes",F16&lt;&gt;"Yes"),"",_xlfn.LET(_xlpm.ip,--_xlfn.TEXTSPLIT(V16,"."),_xlpm.n,I16+1,_xlpm.total,SUMPRODUCT(_xlpm.ip,{16777216,65536,256,1})+_xlpm.n,QUOTIENT(_xlpm.total,16777216)&amp;"."&amp;MOD(QUOTIENT(_xlpm.total,65536),256)&amp;"."&amp;MOD(QUOTIENT(_xlpm.total,256),256)&amp;"."&amp;MOD(_xlpm.total,256)))</f>
        <v/>
      </c>
      <c r="AA16" s="4" t="str">
        <f t="shared" si="12"/>
        <v/>
      </c>
      <c r="AB16" s="4" t="str">
        <f t="shared" si="13"/>
        <v/>
      </c>
      <c r="AC16" s="4" t="str" cm="1">
        <f t="array" ref="AC16">IF(OR(E16&lt;&gt;"Yes",F16&lt;&gt;"Yes"),"",_xlfn.LET(_xlpm.ip,--_xlfn.TEXTSPLIT(Z16,"."),_xlpm.total,SUMPRODUCT(_xlpm.ip,{16777216,65536,256,1})-1,_xlpm.last,QUOTIENT(_xlpm.total,16777216)&amp;"."&amp;MOD(QUOTIENT(_xlpm.total,65536),256)&amp;"."&amp;MOD(QUOTIENT(_xlpm.total,256),256)&amp;"."&amp;MOD(_xlpm.total,256),V16&amp;" - "&amp;_xlpm.last))</f>
        <v/>
      </c>
    </row>
    <row r="17" spans="1:34" hidden="1">
      <c r="A17" s="3"/>
      <c r="B17" s="2"/>
      <c r="C17" s="2"/>
      <c r="D17" s="2"/>
      <c r="E17" s="3" t="s">
        <v>37</v>
      </c>
      <c r="F17" s="3" t="s">
        <v>37</v>
      </c>
      <c r="G17" s="1"/>
      <c r="H17" s="4">
        <f t="shared" si="0"/>
        <v>0</v>
      </c>
      <c r="I17" s="1">
        <v>0</v>
      </c>
      <c r="J17" s="4">
        <f t="shared" si="1"/>
        <v>0</v>
      </c>
      <c r="K17" s="4" t="str">
        <f t="shared" si="2"/>
        <v/>
      </c>
      <c r="L17" s="4" t="str">
        <f t="shared" si="3"/>
        <v/>
      </c>
      <c r="M17" s="4" t="str">
        <f t="shared" si="4"/>
        <v/>
      </c>
      <c r="N17" s="4" t="str">
        <f t="shared" si="5"/>
        <v/>
      </c>
      <c r="O17" s="4" t="str">
        <f t="shared" si="6"/>
        <v/>
      </c>
      <c r="P17" s="4" t="str">
        <f t="shared" si="7"/>
        <v/>
      </c>
      <c r="Q17" s="4" t="str">
        <f t="shared" si="8"/>
        <v/>
      </c>
      <c r="R17" s="4" t="str">
        <f>IF(E17&lt;&gt;"Yes","",COUNTIFS($C$4:$C$33,C17,$E$4:$E$33,"Yes",$O$4:$O$33,"&gt;"&amp;O17)+COUNTIFS($C$4:C17,C17,$E$4:E17,"Yes",$O$4:O17,O17))</f>
        <v/>
      </c>
      <c r="S17" s="4" t="str" cm="1">
        <f t="array" ref="S17">IF(E17&lt;&gt;"Yes","",_xlfn.LET(_xlpm.base,IF(C17="SYD","10.10.0.0",IF(C17="CBR","10.20.0.0","")),_xlpm.ip,--_xlfn.TEXTSPLIT(_xlpm.base,"."),_xlpm.offset,SUMIFS($O$4:$O$33,$C$4:$C$33,C17,$E$4:$E$33,"Yes",$R$4:$R$33,"&lt;"&amp;R17),_xlpm.total,SUMPRODUCT(_xlpm.ip,{16777216,65536,256,1})+_xlpm.offset,QUOTIENT(_xlpm.total,16777216)&amp;"."&amp;MOD(QUOTIENT(_xlpm.total,65536),256)&amp;"."&amp;MOD(QUOTIENT(_xlpm.total,256),256)&amp;"."&amp;MOD(_xlpm.total,256)))</f>
        <v/>
      </c>
      <c r="T17" s="4" t="str" cm="1">
        <f t="array" ref="T17">IF(E17&lt;&gt;"Yes","",_xlfn.LET(_xlpm.ip,--_xlfn.TEXTSPLIT(S17,"."),_xlpm.n,O17-1,_xlpm.total,SUMPRODUCT(_xlpm.ip,{16777216,65536,256,1})+_xlpm.n,QUOTIENT(_xlpm.total,16777216)&amp;"."&amp;MOD(QUOTIENT(_xlpm.total,65536),256)&amp;"."&amp;MOD(QUOTIENT(_xlpm.total,256),256)&amp;"."&amp;MOD(_xlpm.total,256)))</f>
        <v/>
      </c>
      <c r="U17" s="4" t="str">
        <f t="shared" si="9"/>
        <v/>
      </c>
      <c r="V17" s="4" t="str" cm="1">
        <f t="array" ref="V17">IF(E17&lt;&gt;"Yes","",_xlfn.LET(_xlpm.ip,--_xlfn.TEXTSPLIT(S17,"."),_xlpm.total,SUMPRODUCT(_xlpm.ip,{16777216,65536,256,1})+1,QUOTIENT(_xlpm.total,16777216)&amp;"."&amp;MOD(QUOTIENT(_xlpm.total,65536),256)&amp;"."&amp;MOD(QUOTIENT(_xlpm.total,256),256)&amp;"."&amp;MOD(_xlpm.total,256)))</f>
        <v/>
      </c>
      <c r="W17" s="4" t="str" cm="1">
        <f t="array" ref="W17">IF(E17&lt;&gt;"Yes","",_xlfn.LET(_xlpm.ip,--_xlfn.TEXTSPLIT(T17,"."),_xlpm.total,SUMPRODUCT(_xlpm.ip,{16777216,65536,256,1})-1,QUOTIENT(_xlpm.total,16777216)&amp;"."&amp;MOD(QUOTIENT(_xlpm.total,65536),256)&amp;"."&amp;MOD(QUOTIENT(_xlpm.total,256),256)&amp;"."&amp;MOD(_xlpm.total,256)))</f>
        <v/>
      </c>
      <c r="X17" s="4" t="str">
        <f t="shared" si="10"/>
        <v/>
      </c>
      <c r="Y17" s="4" t="str">
        <f t="shared" si="11"/>
        <v/>
      </c>
      <c r="Z17" s="4" t="str" cm="1">
        <f t="array" ref="Z17">IF(OR(E17&lt;&gt;"Yes",F17&lt;&gt;"Yes"),"",_xlfn.LET(_xlpm.ip,--_xlfn.TEXTSPLIT(V17,"."),_xlpm.n,I17+1,_xlpm.total,SUMPRODUCT(_xlpm.ip,{16777216,65536,256,1})+_xlpm.n,QUOTIENT(_xlpm.total,16777216)&amp;"."&amp;MOD(QUOTIENT(_xlpm.total,65536),256)&amp;"."&amp;MOD(QUOTIENT(_xlpm.total,256),256)&amp;"."&amp;MOD(_xlpm.total,256)))</f>
        <v/>
      </c>
      <c r="AA17" s="4" t="str">
        <f t="shared" si="12"/>
        <v/>
      </c>
      <c r="AB17" s="4" t="str">
        <f t="shared" si="13"/>
        <v/>
      </c>
      <c r="AC17" s="4" t="str" cm="1">
        <f t="array" ref="AC17">IF(OR(E17&lt;&gt;"Yes",F17&lt;&gt;"Yes"),"",_xlfn.LET(_xlpm.ip,--_xlfn.TEXTSPLIT(Z17,"."),_xlpm.total,SUMPRODUCT(_xlpm.ip,{16777216,65536,256,1})-1,_xlpm.last,QUOTIENT(_xlpm.total,16777216)&amp;"."&amp;MOD(QUOTIENT(_xlpm.total,65536),256)&amp;"."&amp;MOD(QUOTIENT(_xlpm.total,256),256)&amp;"."&amp;MOD(_xlpm.total,256),V17&amp;" - "&amp;_xlpm.last))</f>
        <v/>
      </c>
    </row>
    <row r="18" spans="1:34" ht="24.75" customHeight="1">
      <c r="A18" s="56" t="s">
        <v>54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8"/>
    </row>
    <row r="19" spans="1:34">
      <c r="A19" s="3">
        <v>10</v>
      </c>
      <c r="B19" s="2" t="s">
        <v>31</v>
      </c>
      <c r="C19" s="2" t="s">
        <v>55</v>
      </c>
      <c r="D19" s="2" t="s">
        <v>33</v>
      </c>
      <c r="E19" s="3" t="s">
        <v>34</v>
      </c>
      <c r="F19" s="3" t="s">
        <v>34</v>
      </c>
      <c r="G19" s="1">
        <v>42</v>
      </c>
      <c r="H19" s="4">
        <f t="shared" si="0"/>
        <v>10.5</v>
      </c>
      <c r="I19" s="1">
        <v>0</v>
      </c>
      <c r="J19" s="4">
        <f t="shared" si="1"/>
        <v>53</v>
      </c>
      <c r="K19" s="4">
        <f t="shared" si="2"/>
        <v>26</v>
      </c>
      <c r="L19" s="4" t="str">
        <f t="shared" si="3"/>
        <v>/26</v>
      </c>
      <c r="M19" s="4">
        <f t="shared" si="4"/>
        <v>62</v>
      </c>
      <c r="N19" s="4">
        <f t="shared" si="5"/>
        <v>8</v>
      </c>
      <c r="O19" s="4">
        <f t="shared" si="6"/>
        <v>64</v>
      </c>
      <c r="P19" s="4" t="str">
        <f t="shared" si="7"/>
        <v>255.255.255.192</v>
      </c>
      <c r="Q19" s="4">
        <f t="shared" si="8"/>
        <v>64</v>
      </c>
      <c r="R19" s="4">
        <f>IF(E19&lt;&gt;"Yes","",COUNTIFS($C$4:$C$33,C19,$E$4:$E$33,"Yes",$O$4:$O$33,"&gt;"&amp;O19)+COUNTIFS($C$4:C19,C19,$E$4:E19,"Yes",$O$4:O19,O19))</f>
        <v>1</v>
      </c>
      <c r="S19" s="1" t="str" cm="1">
        <f t="array" ref="S19">IF(E19&lt;&gt;"Yes","",_xlfn.LET(_xlpm.base,IF(C19="SYD","10.10.0.0",IF(C19="CBR","10.20.0.0","")),_xlpm.ip,--_xlfn.TEXTSPLIT(_xlpm.base,"."),_xlpm.offset,SUMIFS($O$4:$O$33,$C$4:$C$33,C19,$E$4:$E$33,"Yes",$R$4:$R$33,"&lt;"&amp;R19),_xlpm.total,SUMPRODUCT(_xlpm.ip,{16777216,65536,256,1})+_xlpm.offset,QUOTIENT(_xlpm.total,16777216)&amp;"."&amp;MOD(QUOTIENT(_xlpm.total,65536),256)&amp;"."&amp;MOD(QUOTIENT(_xlpm.total,256),256)&amp;"."&amp;MOD(_xlpm.total,256)))</f>
        <v>10.20.0.0</v>
      </c>
      <c r="T19" s="4" t="str" cm="1">
        <f t="array" ref="T19">IF(E19&lt;&gt;"Yes","",_xlfn.LET(_xlpm.ip,--_xlfn.TEXTSPLIT(S19,"."),_xlpm.n,O19-1,_xlpm.total,SUMPRODUCT(_xlpm.ip,{16777216,65536,256,1})+_xlpm.n,QUOTIENT(_xlpm.total,16777216)&amp;"."&amp;MOD(QUOTIENT(_xlpm.total,65536),256)&amp;"."&amp;MOD(QUOTIENT(_xlpm.total,256),256)&amp;"."&amp;MOD(_xlpm.total,256)))</f>
        <v>10.20.0.63</v>
      </c>
      <c r="U19" s="4" t="str">
        <f t="shared" si="9"/>
        <v>10.20.0.0</v>
      </c>
      <c r="V19" s="4" t="str" cm="1">
        <f t="array" ref="V19">IF(E19&lt;&gt;"Yes","",_xlfn.LET(_xlpm.ip,--_xlfn.TEXTSPLIT(S19,"."),_xlpm.total,SUMPRODUCT(_xlpm.ip,{16777216,65536,256,1})+1,QUOTIENT(_xlpm.total,16777216)&amp;"."&amp;MOD(QUOTIENT(_xlpm.total,65536),256)&amp;"."&amp;MOD(QUOTIENT(_xlpm.total,256),256)&amp;"."&amp;MOD(_xlpm.total,256)))</f>
        <v>10.20.0.1</v>
      </c>
      <c r="W19" s="4" t="str" cm="1">
        <f t="array" ref="W19">IF(E19&lt;&gt;"Yes","",_xlfn.LET(_xlpm.ip,--_xlfn.TEXTSPLIT(T19,"."),_xlpm.total,SUMPRODUCT(_xlpm.ip,{16777216,65536,256,1})-1,QUOTIENT(_xlpm.total,16777216)&amp;"."&amp;MOD(QUOTIENT(_xlpm.total,65536),256)&amp;"."&amp;MOD(QUOTIENT(_xlpm.total,256),256)&amp;"."&amp;MOD(_xlpm.total,256)))</f>
        <v>10.20.0.62</v>
      </c>
      <c r="X19" s="4" t="str">
        <f t="shared" si="10"/>
        <v>10.20.0.1</v>
      </c>
      <c r="Y19" s="4" t="str">
        <f t="shared" si="11"/>
        <v>10.20.0.0/26</v>
      </c>
      <c r="Z19" s="4" t="str" cm="1">
        <f t="array" ref="Z19">IF(OR(E19&lt;&gt;"Yes",F19&lt;&gt;"Yes"),"",_xlfn.LET(_xlpm.ip,--_xlfn.TEXTSPLIT(V19,"."),_xlpm.n,I19+1,_xlpm.total,SUMPRODUCT(_xlpm.ip,{16777216,65536,256,1})+_xlpm.n,QUOTIENT(_xlpm.total,16777216)&amp;"."&amp;MOD(QUOTIENT(_xlpm.total,65536),256)&amp;"."&amp;MOD(QUOTIENT(_xlpm.total,256),256)&amp;"."&amp;MOD(_xlpm.total,256)))</f>
        <v>10.20.0.2</v>
      </c>
      <c r="AA19" s="4" t="str">
        <f t="shared" si="12"/>
        <v>10.20.0.62</v>
      </c>
      <c r="AB19" s="4">
        <f t="shared" si="13"/>
        <v>61</v>
      </c>
      <c r="AC19" s="4" t="str" cm="1">
        <f t="array" ref="AC19">IF(OR(E19&lt;&gt;"Yes",F19&lt;&gt;"Yes"),"",_xlfn.LET(_xlpm.ip,--_xlfn.TEXTSPLIT(Z19,"."),_xlpm.total,SUMPRODUCT(_xlpm.ip,{16777216,65536,256,1})-1,_xlpm.last,QUOTIENT(_xlpm.total,16777216)&amp;"."&amp;MOD(QUOTIENT(_xlpm.total,65536),256)&amp;"."&amp;MOD(QUOTIENT(_xlpm.total,256),256)&amp;"."&amp;MOD(_xlpm.total,256),V19&amp;" - "&amp;_xlpm.last))</f>
        <v>10.20.0.1 - 10.20.0.1</v>
      </c>
      <c r="AE19" s="28"/>
      <c r="AF19" s="28"/>
      <c r="AG19" s="28"/>
      <c r="AH19" s="28"/>
    </row>
    <row r="20" spans="1:34">
      <c r="A20" s="3">
        <v>20</v>
      </c>
      <c r="B20" s="2" t="s">
        <v>35</v>
      </c>
      <c r="C20" s="2" t="s">
        <v>55</v>
      </c>
      <c r="D20" s="2" t="s">
        <v>36</v>
      </c>
      <c r="E20" s="3" t="s">
        <v>34</v>
      </c>
      <c r="F20" s="3" t="s">
        <v>37</v>
      </c>
      <c r="G20" s="1">
        <v>10</v>
      </c>
      <c r="H20" s="4">
        <f t="shared" si="0"/>
        <v>2.5</v>
      </c>
      <c r="I20" s="1">
        <v>0</v>
      </c>
      <c r="J20" s="4">
        <f t="shared" si="1"/>
        <v>13</v>
      </c>
      <c r="K20" s="4">
        <f t="shared" si="2"/>
        <v>28</v>
      </c>
      <c r="L20" s="4" t="str">
        <f t="shared" si="3"/>
        <v>/28</v>
      </c>
      <c r="M20" s="4">
        <f t="shared" si="4"/>
        <v>14</v>
      </c>
      <c r="N20" s="4">
        <f t="shared" si="5"/>
        <v>0</v>
      </c>
      <c r="O20" s="4">
        <f t="shared" si="6"/>
        <v>16</v>
      </c>
      <c r="P20" s="4" t="str">
        <f t="shared" si="7"/>
        <v>255.255.255.240</v>
      </c>
      <c r="Q20" s="4">
        <f t="shared" si="8"/>
        <v>16</v>
      </c>
      <c r="R20" s="4">
        <f>IF(E20&lt;&gt;"Yes","",COUNTIFS($C$4:$C$33,C20,$E$4:$E$33,"Yes",$O$4:$O$33,"&gt;"&amp;O20)+COUNTIFS($C$4:C20,C20,$E$4:E20,"Yes",$O$4:O20,O20))</f>
        <v>5</v>
      </c>
      <c r="S20" s="4" t="str" cm="1">
        <f t="array" ref="S20">IF(E20&lt;&gt;"Yes","",_xlfn.LET(_xlpm.base,IF(C20="SYD","10.10.0.0",IF(C20="CBR","10.20.0.0","")),_xlpm.ip,--_xlfn.TEXTSPLIT(_xlpm.base,"."),_xlpm.offset,SUMIFS($O$4:$O$33,$C$4:$C$33,C20,$E$4:$E$33,"Yes",$R$4:$R$33,"&lt;"&amp;R20),_xlpm.total,SUMPRODUCT(_xlpm.ip,{16777216,65536,256,1})+_xlpm.offset,QUOTIENT(_xlpm.total,16777216)&amp;"."&amp;MOD(QUOTIENT(_xlpm.total,65536),256)&amp;"."&amp;MOD(QUOTIENT(_xlpm.total,256),256)&amp;"."&amp;MOD(_xlpm.total,256)))</f>
        <v>10.20.0.224</v>
      </c>
      <c r="T20" s="4" t="str" cm="1">
        <f t="array" ref="T20">IF(E20&lt;&gt;"Yes","",_xlfn.LET(_xlpm.ip,--_xlfn.TEXTSPLIT(S20,"."),_xlpm.n,O20-1,_xlpm.total,SUMPRODUCT(_xlpm.ip,{16777216,65536,256,1})+_xlpm.n,QUOTIENT(_xlpm.total,16777216)&amp;"."&amp;MOD(QUOTIENT(_xlpm.total,65536),256)&amp;"."&amp;MOD(QUOTIENT(_xlpm.total,256),256)&amp;"."&amp;MOD(_xlpm.total,256)))</f>
        <v>10.20.0.239</v>
      </c>
      <c r="U20" s="4" t="str">
        <f t="shared" si="9"/>
        <v>10.20.0.224</v>
      </c>
      <c r="V20" s="4" t="str" cm="1">
        <f t="array" ref="V20">IF(E20&lt;&gt;"Yes","",_xlfn.LET(_xlpm.ip,--_xlfn.TEXTSPLIT(S20,"."),_xlpm.total,SUMPRODUCT(_xlpm.ip,{16777216,65536,256,1})+1,QUOTIENT(_xlpm.total,16777216)&amp;"."&amp;MOD(QUOTIENT(_xlpm.total,65536),256)&amp;"."&amp;MOD(QUOTIENT(_xlpm.total,256),256)&amp;"."&amp;MOD(_xlpm.total,256)))</f>
        <v>10.20.0.225</v>
      </c>
      <c r="W20" s="4" t="str" cm="1">
        <f t="array" ref="W20">IF(E20&lt;&gt;"Yes","",_xlfn.LET(_xlpm.ip,--_xlfn.TEXTSPLIT(T20,"."),_xlpm.total,SUMPRODUCT(_xlpm.ip,{16777216,65536,256,1})-1,QUOTIENT(_xlpm.total,16777216)&amp;"."&amp;MOD(QUOTIENT(_xlpm.total,65536),256)&amp;"."&amp;MOD(QUOTIENT(_xlpm.total,256),256)&amp;"."&amp;MOD(_xlpm.total,256)))</f>
        <v>10.20.0.238</v>
      </c>
      <c r="X20" s="4" t="str">
        <f t="shared" si="10"/>
        <v>10.20.0.225</v>
      </c>
      <c r="Y20" s="4" t="str">
        <f t="shared" si="11"/>
        <v>10.20.0.224/28</v>
      </c>
      <c r="Z20" s="4" t="str" cm="1">
        <f t="array" ref="Z20">IF(OR(E20&lt;&gt;"Yes",F20&lt;&gt;"Yes"),"",_xlfn.LET(_xlpm.ip,--_xlfn.TEXTSPLIT(V20,"."),_xlpm.n,I20+1,_xlpm.total,SUMPRODUCT(_xlpm.ip,{16777216,65536,256,1})+_xlpm.n,QUOTIENT(_xlpm.total,16777216)&amp;"."&amp;MOD(QUOTIENT(_xlpm.total,65536),256)&amp;"."&amp;MOD(QUOTIENT(_xlpm.total,256),256)&amp;"."&amp;MOD(_xlpm.total,256)))</f>
        <v/>
      </c>
      <c r="AA20" s="4" t="str">
        <f t="shared" si="12"/>
        <v/>
      </c>
      <c r="AB20" s="4" t="str">
        <f t="shared" si="13"/>
        <v/>
      </c>
      <c r="AC20" s="4" t="str" cm="1">
        <f t="array" ref="AC20">IF(OR(E20&lt;&gt;"Yes",F20&lt;&gt;"Yes"),"",_xlfn.LET(_xlpm.ip,--_xlfn.TEXTSPLIT(Z20,"."),_xlpm.total,SUMPRODUCT(_xlpm.ip,{16777216,65536,256,1})-1,_xlpm.last,QUOTIENT(_xlpm.total,16777216)&amp;"."&amp;MOD(QUOTIENT(_xlpm.total,65536),256)&amp;"."&amp;MOD(QUOTIENT(_xlpm.total,256),256)&amp;"."&amp;MOD(_xlpm.total,256),V20&amp;" - "&amp;_xlpm.last))</f>
        <v/>
      </c>
      <c r="AE20" s="28"/>
      <c r="AF20" s="28"/>
      <c r="AG20" s="28"/>
      <c r="AH20" s="28"/>
    </row>
    <row r="21" spans="1:34">
      <c r="A21" s="3">
        <v>30</v>
      </c>
      <c r="B21" s="2" t="s">
        <v>38</v>
      </c>
      <c r="C21" s="2" t="s">
        <v>55</v>
      </c>
      <c r="D21" s="2" t="s">
        <v>39</v>
      </c>
      <c r="E21" s="3" t="s">
        <v>34</v>
      </c>
      <c r="F21" s="3" t="s">
        <v>34</v>
      </c>
      <c r="G21" s="1">
        <v>24</v>
      </c>
      <c r="H21" s="4">
        <f t="shared" si="0"/>
        <v>6</v>
      </c>
      <c r="I21" s="1">
        <v>0</v>
      </c>
      <c r="J21" s="4">
        <f t="shared" si="1"/>
        <v>30</v>
      </c>
      <c r="K21" s="4">
        <f t="shared" si="2"/>
        <v>26</v>
      </c>
      <c r="L21" s="4" t="str">
        <f t="shared" si="3"/>
        <v>/26</v>
      </c>
      <c r="M21" s="4">
        <f t="shared" si="4"/>
        <v>62</v>
      </c>
      <c r="N21" s="4">
        <f t="shared" si="5"/>
        <v>31</v>
      </c>
      <c r="O21" s="4">
        <f t="shared" si="6"/>
        <v>64</v>
      </c>
      <c r="P21" s="4" t="str">
        <f t="shared" si="7"/>
        <v>255.255.255.192</v>
      </c>
      <c r="Q21" s="4">
        <f t="shared" si="8"/>
        <v>64</v>
      </c>
      <c r="R21" s="4">
        <f>IF(E21&lt;&gt;"Yes","",COUNTIFS($C$4:$C$33,C21,$E$4:$E$33,"Yes",$O$4:$O$33,"&gt;"&amp;O21)+COUNTIFS($C$4:C21,C21,$E$4:E21,"Yes",$O$4:O21,O21))</f>
        <v>2</v>
      </c>
      <c r="S21" s="4" t="str" cm="1">
        <f t="array" ref="S21">IF(E21&lt;&gt;"Yes","",_xlfn.LET(_xlpm.base,IF(C21="SYD","10.10.0.0",IF(C21="CBR","10.20.0.0","")),_xlpm.ip,--_xlfn.TEXTSPLIT(_xlpm.base,"."),_xlpm.offset,SUMIFS($O$4:$O$33,$C$4:$C$33,C21,$E$4:$E$33,"Yes",$R$4:$R$33,"&lt;"&amp;R21),_xlpm.total,SUMPRODUCT(_xlpm.ip,{16777216,65536,256,1})+_xlpm.offset,QUOTIENT(_xlpm.total,16777216)&amp;"."&amp;MOD(QUOTIENT(_xlpm.total,65536),256)&amp;"."&amp;MOD(QUOTIENT(_xlpm.total,256),256)&amp;"."&amp;MOD(_xlpm.total,256)))</f>
        <v>10.20.0.64</v>
      </c>
      <c r="T21" s="4" t="str" cm="1">
        <f t="array" ref="T21">IF(E21&lt;&gt;"Yes","",_xlfn.LET(_xlpm.ip,--_xlfn.TEXTSPLIT(S21,"."),_xlpm.n,O21-1,_xlpm.total,SUMPRODUCT(_xlpm.ip,{16777216,65536,256,1})+_xlpm.n,QUOTIENT(_xlpm.total,16777216)&amp;"."&amp;MOD(QUOTIENT(_xlpm.total,65536),256)&amp;"."&amp;MOD(QUOTIENT(_xlpm.total,256),256)&amp;"."&amp;MOD(_xlpm.total,256)))</f>
        <v>10.20.0.127</v>
      </c>
      <c r="U21" s="4" t="str">
        <f t="shared" si="9"/>
        <v>10.20.0.64</v>
      </c>
      <c r="V21" s="4" t="str" cm="1">
        <f t="array" ref="V21">IF(E21&lt;&gt;"Yes","",_xlfn.LET(_xlpm.ip,--_xlfn.TEXTSPLIT(S21,"."),_xlpm.total,SUMPRODUCT(_xlpm.ip,{16777216,65536,256,1})+1,QUOTIENT(_xlpm.total,16777216)&amp;"."&amp;MOD(QUOTIENT(_xlpm.total,65536),256)&amp;"."&amp;MOD(QUOTIENT(_xlpm.total,256),256)&amp;"."&amp;MOD(_xlpm.total,256)))</f>
        <v>10.20.0.65</v>
      </c>
      <c r="W21" s="4" t="str" cm="1">
        <f t="array" ref="W21">IF(E21&lt;&gt;"Yes","",_xlfn.LET(_xlpm.ip,--_xlfn.TEXTSPLIT(T21,"."),_xlpm.total,SUMPRODUCT(_xlpm.ip,{16777216,65536,256,1})-1,QUOTIENT(_xlpm.total,16777216)&amp;"."&amp;MOD(QUOTIENT(_xlpm.total,65536),256)&amp;"."&amp;MOD(QUOTIENT(_xlpm.total,256),256)&amp;"."&amp;MOD(_xlpm.total,256)))</f>
        <v>10.20.0.126</v>
      </c>
      <c r="X21" s="4" t="str">
        <f t="shared" si="10"/>
        <v>10.20.0.65</v>
      </c>
      <c r="Y21" s="4" t="str">
        <f t="shared" si="11"/>
        <v>10.20.0.64/26</v>
      </c>
      <c r="Z21" s="4" t="str" cm="1">
        <f t="array" ref="Z21">IF(OR(E21&lt;&gt;"Yes",F21&lt;&gt;"Yes"),"",_xlfn.LET(_xlpm.ip,--_xlfn.TEXTSPLIT(V21,"."),_xlpm.n,I21+1,_xlpm.total,SUMPRODUCT(_xlpm.ip,{16777216,65536,256,1})+_xlpm.n,QUOTIENT(_xlpm.total,16777216)&amp;"."&amp;MOD(QUOTIENT(_xlpm.total,65536),256)&amp;"."&amp;MOD(QUOTIENT(_xlpm.total,256),256)&amp;"."&amp;MOD(_xlpm.total,256)))</f>
        <v>10.20.0.66</v>
      </c>
      <c r="AA21" s="4" t="str">
        <f t="shared" si="12"/>
        <v>10.20.0.126</v>
      </c>
      <c r="AB21" s="4">
        <f t="shared" si="13"/>
        <v>61</v>
      </c>
      <c r="AC21" s="4" t="str" cm="1">
        <f t="array" ref="AC21">IF(OR(E21&lt;&gt;"Yes",F21&lt;&gt;"Yes"),"",_xlfn.LET(_xlpm.ip,--_xlfn.TEXTSPLIT(Z21,"."),_xlpm.total,SUMPRODUCT(_xlpm.ip,{16777216,65536,256,1})-1,_xlpm.last,QUOTIENT(_xlpm.total,16777216)&amp;"."&amp;MOD(QUOTIENT(_xlpm.total,65536),256)&amp;"."&amp;MOD(QUOTIENT(_xlpm.total,256),256)&amp;"."&amp;MOD(_xlpm.total,256),V21&amp;" - "&amp;_xlpm.last))</f>
        <v>10.20.0.65 - 10.20.0.65</v>
      </c>
      <c r="AE21" s="28"/>
      <c r="AF21" s="28"/>
      <c r="AG21" s="28"/>
      <c r="AH21" s="28"/>
    </row>
    <row r="22" spans="1:34">
      <c r="A22" s="3">
        <v>40</v>
      </c>
      <c r="B22" s="2" t="s">
        <v>40</v>
      </c>
      <c r="C22" s="2" t="s">
        <v>55</v>
      </c>
      <c r="D22" s="2" t="s">
        <v>41</v>
      </c>
      <c r="E22" s="3" t="s">
        <v>34</v>
      </c>
      <c r="F22" s="3" t="s">
        <v>34</v>
      </c>
      <c r="G22" s="1">
        <v>24</v>
      </c>
      <c r="H22" s="4">
        <f t="shared" si="0"/>
        <v>6</v>
      </c>
      <c r="I22" s="1">
        <v>0</v>
      </c>
      <c r="J22" s="4">
        <f t="shared" si="1"/>
        <v>30</v>
      </c>
      <c r="K22" s="4">
        <f t="shared" si="2"/>
        <v>26</v>
      </c>
      <c r="L22" s="4" t="str">
        <f t="shared" si="3"/>
        <v>/26</v>
      </c>
      <c r="M22" s="4">
        <f t="shared" si="4"/>
        <v>62</v>
      </c>
      <c r="N22" s="4">
        <f t="shared" si="5"/>
        <v>31</v>
      </c>
      <c r="O22" s="4">
        <f t="shared" si="6"/>
        <v>64</v>
      </c>
      <c r="P22" s="4" t="str">
        <f t="shared" si="7"/>
        <v>255.255.255.192</v>
      </c>
      <c r="Q22" s="4">
        <f t="shared" si="8"/>
        <v>64</v>
      </c>
      <c r="R22" s="4">
        <f>IF(E22&lt;&gt;"Yes","",COUNTIFS($C$4:$C$33,C22,$E$4:$E$33,"Yes",$O$4:$O$33,"&gt;"&amp;O22)+COUNTIFS($C$4:C22,C22,$E$4:E22,"Yes",$O$4:O22,O22))</f>
        <v>3</v>
      </c>
      <c r="S22" s="4" t="str" cm="1">
        <f t="array" ref="S22">IF(E22&lt;&gt;"Yes","",_xlfn.LET(_xlpm.base,IF(C22="SYD","10.10.0.0",IF(C22="CBR","10.20.0.0","")),_xlpm.ip,--_xlfn.TEXTSPLIT(_xlpm.base,"."),_xlpm.offset,SUMIFS($O$4:$O$33,$C$4:$C$33,C22,$E$4:$E$33,"Yes",$R$4:$R$33,"&lt;"&amp;R22),_xlpm.total,SUMPRODUCT(_xlpm.ip,{16777216,65536,256,1})+_xlpm.offset,QUOTIENT(_xlpm.total,16777216)&amp;"."&amp;MOD(QUOTIENT(_xlpm.total,65536),256)&amp;"."&amp;MOD(QUOTIENT(_xlpm.total,256),256)&amp;"."&amp;MOD(_xlpm.total,256)))</f>
        <v>10.20.0.128</v>
      </c>
      <c r="T22" s="4" t="str" cm="1">
        <f t="array" ref="T22">IF(E22&lt;&gt;"Yes","",_xlfn.LET(_xlpm.ip,--_xlfn.TEXTSPLIT(S22,"."),_xlpm.n,O22-1,_xlpm.total,SUMPRODUCT(_xlpm.ip,{16777216,65536,256,1})+_xlpm.n,QUOTIENT(_xlpm.total,16777216)&amp;"."&amp;MOD(QUOTIENT(_xlpm.total,65536),256)&amp;"."&amp;MOD(QUOTIENT(_xlpm.total,256),256)&amp;"."&amp;MOD(_xlpm.total,256)))</f>
        <v>10.20.0.191</v>
      </c>
      <c r="U22" s="4" t="str">
        <f t="shared" si="9"/>
        <v>10.20.0.128</v>
      </c>
      <c r="V22" s="4" t="str" cm="1">
        <f t="array" ref="V22">IF(E22&lt;&gt;"Yes","",_xlfn.LET(_xlpm.ip,--_xlfn.TEXTSPLIT(S22,"."),_xlpm.total,SUMPRODUCT(_xlpm.ip,{16777216,65536,256,1})+1,QUOTIENT(_xlpm.total,16777216)&amp;"."&amp;MOD(QUOTIENT(_xlpm.total,65536),256)&amp;"."&amp;MOD(QUOTIENT(_xlpm.total,256),256)&amp;"."&amp;MOD(_xlpm.total,256)))</f>
        <v>10.20.0.129</v>
      </c>
      <c r="W22" s="4" t="str" cm="1">
        <f t="array" ref="W22">IF(E22&lt;&gt;"Yes","",_xlfn.LET(_xlpm.ip,--_xlfn.TEXTSPLIT(T22,"."),_xlpm.total,SUMPRODUCT(_xlpm.ip,{16777216,65536,256,1})-1,QUOTIENT(_xlpm.total,16777216)&amp;"."&amp;MOD(QUOTIENT(_xlpm.total,65536),256)&amp;"."&amp;MOD(QUOTIENT(_xlpm.total,256),256)&amp;"."&amp;MOD(_xlpm.total,256)))</f>
        <v>10.20.0.190</v>
      </c>
      <c r="X22" s="4" t="str">
        <f t="shared" si="10"/>
        <v>10.20.0.129</v>
      </c>
      <c r="Y22" s="4" t="str">
        <f t="shared" si="11"/>
        <v>10.20.0.128/26</v>
      </c>
      <c r="Z22" s="4" t="str" cm="1">
        <f t="array" ref="Z22">IF(OR(E22&lt;&gt;"Yes",F22&lt;&gt;"Yes"),"",_xlfn.LET(_xlpm.ip,--_xlfn.TEXTSPLIT(V22,"."),_xlpm.n,I22+1,_xlpm.total,SUMPRODUCT(_xlpm.ip,{16777216,65536,256,1})+_xlpm.n,QUOTIENT(_xlpm.total,16777216)&amp;"."&amp;MOD(QUOTIENT(_xlpm.total,65536),256)&amp;"."&amp;MOD(QUOTIENT(_xlpm.total,256),256)&amp;"."&amp;MOD(_xlpm.total,256)))</f>
        <v>10.20.0.130</v>
      </c>
      <c r="AA22" s="4" t="str">
        <f t="shared" si="12"/>
        <v>10.20.0.190</v>
      </c>
      <c r="AB22" s="4">
        <f t="shared" si="13"/>
        <v>61</v>
      </c>
      <c r="AC22" s="4" t="str" cm="1">
        <f t="array" ref="AC22">IF(OR(E22&lt;&gt;"Yes",F22&lt;&gt;"Yes"),"",_xlfn.LET(_xlpm.ip,--_xlfn.TEXTSPLIT(Z22,"."),_xlpm.total,SUMPRODUCT(_xlpm.ip,{16777216,65536,256,1})-1,_xlpm.last,QUOTIENT(_xlpm.total,16777216)&amp;"."&amp;MOD(QUOTIENT(_xlpm.total,65536),256)&amp;"."&amp;MOD(QUOTIENT(_xlpm.total,256),256)&amp;"."&amp;MOD(_xlpm.total,256),V22&amp;" - "&amp;_xlpm.last))</f>
        <v>10.20.0.129 - 10.20.0.129</v>
      </c>
      <c r="AE22" s="28"/>
      <c r="AF22" s="28"/>
      <c r="AG22" s="28"/>
      <c r="AH22" s="28"/>
    </row>
    <row r="23" spans="1:34">
      <c r="A23" s="3">
        <v>50</v>
      </c>
      <c r="B23" s="2" t="s">
        <v>42</v>
      </c>
      <c r="C23" s="2" t="s">
        <v>55</v>
      </c>
      <c r="D23" s="2" t="s">
        <v>43</v>
      </c>
      <c r="E23" s="3" t="s">
        <v>34</v>
      </c>
      <c r="F23" s="3" t="s">
        <v>34</v>
      </c>
      <c r="G23" s="1">
        <v>12</v>
      </c>
      <c r="H23" s="4">
        <f t="shared" si="0"/>
        <v>3</v>
      </c>
      <c r="I23" s="1">
        <v>0</v>
      </c>
      <c r="J23" s="4">
        <f t="shared" si="1"/>
        <v>15</v>
      </c>
      <c r="K23" s="4">
        <f t="shared" si="2"/>
        <v>27</v>
      </c>
      <c r="L23" s="4" t="str">
        <f t="shared" si="3"/>
        <v>/27</v>
      </c>
      <c r="M23" s="4">
        <f t="shared" si="4"/>
        <v>30</v>
      </c>
      <c r="N23" s="4">
        <f t="shared" si="5"/>
        <v>14</v>
      </c>
      <c r="O23" s="4">
        <f t="shared" si="6"/>
        <v>32</v>
      </c>
      <c r="P23" s="4" t="str">
        <f t="shared" si="7"/>
        <v>255.255.255.224</v>
      </c>
      <c r="Q23" s="4">
        <f t="shared" si="8"/>
        <v>32</v>
      </c>
      <c r="R23" s="4">
        <f>IF(E23&lt;&gt;"Yes","",COUNTIFS($C$4:$C$33,C23,$E$4:$E$33,"Yes",$O$4:$O$33,"&gt;"&amp;O23)+COUNTIFS($C$4:C23,C23,$E$4:E23,"Yes",$O$4:O23,O23))</f>
        <v>4</v>
      </c>
      <c r="S23" s="4" t="str" cm="1">
        <f t="array" ref="S23">IF(E23&lt;&gt;"Yes","",_xlfn.LET(_xlpm.base,IF(C23="SYD","10.10.0.0",IF(C23="CBR","10.20.0.0","")),_xlpm.ip,--_xlfn.TEXTSPLIT(_xlpm.base,"."),_xlpm.offset,SUMIFS($O$4:$O$33,$C$4:$C$33,C23,$E$4:$E$33,"Yes",$R$4:$R$33,"&lt;"&amp;R23),_xlpm.total,SUMPRODUCT(_xlpm.ip,{16777216,65536,256,1})+_xlpm.offset,QUOTIENT(_xlpm.total,16777216)&amp;"."&amp;MOD(QUOTIENT(_xlpm.total,65536),256)&amp;"."&amp;MOD(QUOTIENT(_xlpm.total,256),256)&amp;"."&amp;MOD(_xlpm.total,256)))</f>
        <v>10.20.0.192</v>
      </c>
      <c r="T23" s="4" t="str" cm="1">
        <f t="array" ref="T23">IF(E23&lt;&gt;"Yes","",_xlfn.LET(_xlpm.ip,--_xlfn.TEXTSPLIT(S23,"."),_xlpm.n,O23-1,_xlpm.total,SUMPRODUCT(_xlpm.ip,{16777216,65536,256,1})+_xlpm.n,QUOTIENT(_xlpm.total,16777216)&amp;"."&amp;MOD(QUOTIENT(_xlpm.total,65536),256)&amp;"."&amp;MOD(QUOTIENT(_xlpm.total,256),256)&amp;"."&amp;MOD(_xlpm.total,256)))</f>
        <v>10.20.0.223</v>
      </c>
      <c r="U23" s="4" t="str">
        <f t="shared" si="9"/>
        <v>10.20.0.192</v>
      </c>
      <c r="V23" s="4" t="str" cm="1">
        <f t="array" ref="V23">IF(E23&lt;&gt;"Yes","",_xlfn.LET(_xlpm.ip,--_xlfn.TEXTSPLIT(S23,"."),_xlpm.total,SUMPRODUCT(_xlpm.ip,{16777216,65536,256,1})+1,QUOTIENT(_xlpm.total,16777216)&amp;"."&amp;MOD(QUOTIENT(_xlpm.total,65536),256)&amp;"."&amp;MOD(QUOTIENT(_xlpm.total,256),256)&amp;"."&amp;MOD(_xlpm.total,256)))</f>
        <v>10.20.0.193</v>
      </c>
      <c r="W23" s="4" t="str" cm="1">
        <f t="array" ref="W23">IF(E23&lt;&gt;"Yes","",_xlfn.LET(_xlpm.ip,--_xlfn.TEXTSPLIT(T23,"."),_xlpm.total,SUMPRODUCT(_xlpm.ip,{16777216,65536,256,1})-1,QUOTIENT(_xlpm.total,16777216)&amp;"."&amp;MOD(QUOTIENT(_xlpm.total,65536),256)&amp;"."&amp;MOD(QUOTIENT(_xlpm.total,256),256)&amp;"."&amp;MOD(_xlpm.total,256)))</f>
        <v>10.20.0.222</v>
      </c>
      <c r="X23" s="4" t="str">
        <f t="shared" si="10"/>
        <v>10.20.0.193</v>
      </c>
      <c r="Y23" s="4" t="str">
        <f t="shared" si="11"/>
        <v>10.20.0.192/27</v>
      </c>
      <c r="Z23" s="4" t="str" cm="1">
        <f t="array" ref="Z23">IF(OR(E23&lt;&gt;"Yes",F23&lt;&gt;"Yes"),"",_xlfn.LET(_xlpm.ip,--_xlfn.TEXTSPLIT(V23,"."),_xlpm.n,I23+1,_xlpm.total,SUMPRODUCT(_xlpm.ip,{16777216,65536,256,1})+_xlpm.n,QUOTIENT(_xlpm.total,16777216)&amp;"."&amp;MOD(QUOTIENT(_xlpm.total,65536),256)&amp;"."&amp;MOD(QUOTIENT(_xlpm.total,256),256)&amp;"."&amp;MOD(_xlpm.total,256)))</f>
        <v>10.20.0.194</v>
      </c>
      <c r="AA23" s="4" t="str">
        <f t="shared" si="12"/>
        <v>10.20.0.222</v>
      </c>
      <c r="AB23" s="4">
        <f t="shared" si="13"/>
        <v>29</v>
      </c>
      <c r="AC23" s="4" t="str" cm="1">
        <f t="array" ref="AC23">IF(OR(E23&lt;&gt;"Yes",F23&lt;&gt;"Yes"),"",_xlfn.LET(_xlpm.ip,--_xlfn.TEXTSPLIT(Z23,"."),_xlpm.total,SUMPRODUCT(_xlpm.ip,{16777216,65536,256,1})-1,_xlpm.last,QUOTIENT(_xlpm.total,16777216)&amp;"."&amp;MOD(QUOTIENT(_xlpm.total,65536),256)&amp;"."&amp;MOD(QUOTIENT(_xlpm.total,256),256)&amp;"."&amp;MOD(_xlpm.total,256),V23&amp;" - "&amp;_xlpm.last))</f>
        <v>10.20.0.193 - 10.20.0.193</v>
      </c>
      <c r="AE23" s="28"/>
      <c r="AF23" s="28"/>
      <c r="AG23" s="28"/>
      <c r="AH23" s="28"/>
    </row>
    <row r="24" spans="1:34">
      <c r="A24" s="3">
        <v>60</v>
      </c>
      <c r="B24" s="2" t="s">
        <v>56</v>
      </c>
      <c r="C24" s="2" t="s">
        <v>55</v>
      </c>
      <c r="D24" s="2" t="s">
        <v>45</v>
      </c>
      <c r="E24" s="3" t="s">
        <v>34</v>
      </c>
      <c r="F24" s="3" t="s">
        <v>34</v>
      </c>
      <c r="G24" s="1">
        <v>3</v>
      </c>
      <c r="H24" s="4">
        <f t="shared" si="0"/>
        <v>0.75</v>
      </c>
      <c r="I24" s="1">
        <v>0</v>
      </c>
      <c r="J24" s="4">
        <f t="shared" si="1"/>
        <v>4</v>
      </c>
      <c r="K24" s="4">
        <f t="shared" si="2"/>
        <v>29</v>
      </c>
      <c r="L24" s="4" t="str">
        <f t="shared" si="3"/>
        <v>/29</v>
      </c>
      <c r="M24" s="4">
        <f t="shared" si="4"/>
        <v>6</v>
      </c>
      <c r="N24" s="4">
        <f t="shared" si="5"/>
        <v>1</v>
      </c>
      <c r="O24" s="4">
        <f t="shared" si="6"/>
        <v>8</v>
      </c>
      <c r="P24" s="4" t="str">
        <f t="shared" si="7"/>
        <v>255.255.255.248</v>
      </c>
      <c r="Q24" s="4">
        <f t="shared" si="8"/>
        <v>8</v>
      </c>
      <c r="R24" s="4">
        <f>IF(E24&lt;&gt;"Yes","",COUNTIFS($C$4:$C$33,C24,$E$4:$E$33,"Yes",$O$4:$O$33,"&gt;"&amp;O24)+COUNTIFS($C$4:C24,C24,$E$4:E24,"Yes",$O$4:O24,O24))</f>
        <v>7</v>
      </c>
      <c r="S24" s="4" t="str" cm="1">
        <f t="array" ref="S24">IF(E24&lt;&gt;"Yes","",_xlfn.LET(_xlpm.base,IF(C24="SYD","10.10.0.0",IF(C24="CBR","10.20.0.0","")),_xlpm.ip,--_xlfn.TEXTSPLIT(_xlpm.base,"."),_xlpm.offset,SUMIFS($O$4:$O$33,$C$4:$C$33,C24,$E$4:$E$33,"Yes",$R$4:$R$33,"&lt;"&amp;R24),_xlpm.total,SUMPRODUCT(_xlpm.ip,{16777216,65536,256,1})+_xlpm.offset,QUOTIENT(_xlpm.total,16777216)&amp;"."&amp;MOD(QUOTIENT(_xlpm.total,65536),256)&amp;"."&amp;MOD(QUOTIENT(_xlpm.total,256),256)&amp;"."&amp;MOD(_xlpm.total,256)))</f>
        <v>10.20.1.0</v>
      </c>
      <c r="T24" s="4" t="str" cm="1">
        <f t="array" ref="T24">IF(E24&lt;&gt;"Yes","",_xlfn.LET(_xlpm.ip,--_xlfn.TEXTSPLIT(S24,"."),_xlpm.n,O24-1,_xlpm.total,SUMPRODUCT(_xlpm.ip,{16777216,65536,256,1})+_xlpm.n,QUOTIENT(_xlpm.total,16777216)&amp;"."&amp;MOD(QUOTIENT(_xlpm.total,65536),256)&amp;"."&amp;MOD(QUOTIENT(_xlpm.total,256),256)&amp;"."&amp;MOD(_xlpm.total,256)))</f>
        <v>10.20.1.7</v>
      </c>
      <c r="U24" s="4" t="str">
        <f t="shared" si="9"/>
        <v>10.20.1.0</v>
      </c>
      <c r="V24" s="4" t="str" cm="1">
        <f t="array" ref="V24">IF(E24&lt;&gt;"Yes","",_xlfn.LET(_xlpm.ip,--_xlfn.TEXTSPLIT(S24,"."),_xlpm.total,SUMPRODUCT(_xlpm.ip,{16777216,65536,256,1})+1,QUOTIENT(_xlpm.total,16777216)&amp;"."&amp;MOD(QUOTIENT(_xlpm.total,65536),256)&amp;"."&amp;MOD(QUOTIENT(_xlpm.total,256),256)&amp;"."&amp;MOD(_xlpm.total,256)))</f>
        <v>10.20.1.1</v>
      </c>
      <c r="W24" s="4" t="str" cm="1">
        <f t="array" ref="W24">IF(E24&lt;&gt;"Yes","",_xlfn.LET(_xlpm.ip,--_xlfn.TEXTSPLIT(T24,"."),_xlpm.total,SUMPRODUCT(_xlpm.ip,{16777216,65536,256,1})-1,QUOTIENT(_xlpm.total,16777216)&amp;"."&amp;MOD(QUOTIENT(_xlpm.total,65536),256)&amp;"."&amp;MOD(QUOTIENT(_xlpm.total,256),256)&amp;"."&amp;MOD(_xlpm.total,256)))</f>
        <v>10.20.1.6</v>
      </c>
      <c r="X24" s="4" t="str">
        <f t="shared" si="10"/>
        <v>10.20.1.1</v>
      </c>
      <c r="Y24" s="4" t="str">
        <f t="shared" si="11"/>
        <v>10.20.1.0/29</v>
      </c>
      <c r="Z24" s="4" t="str" cm="1">
        <f t="array" ref="Z24">IF(OR(E24&lt;&gt;"Yes",F24&lt;&gt;"Yes"),"",_xlfn.LET(_xlpm.ip,--_xlfn.TEXTSPLIT(V24,"."),_xlpm.n,I24+1,_xlpm.total,SUMPRODUCT(_xlpm.ip,{16777216,65536,256,1})+_xlpm.n,QUOTIENT(_xlpm.total,16777216)&amp;"."&amp;MOD(QUOTIENT(_xlpm.total,65536),256)&amp;"."&amp;MOD(QUOTIENT(_xlpm.total,256),256)&amp;"."&amp;MOD(_xlpm.total,256)))</f>
        <v>10.20.1.2</v>
      </c>
      <c r="AA24" s="4" t="str">
        <f t="shared" si="12"/>
        <v>10.20.1.6</v>
      </c>
      <c r="AB24" s="4">
        <f t="shared" si="13"/>
        <v>5</v>
      </c>
      <c r="AC24" s="4" t="str" cm="1">
        <f t="array" ref="AC24">IF(OR(E24&lt;&gt;"Yes",F24&lt;&gt;"Yes"),"",_xlfn.LET(_xlpm.ip,--_xlfn.TEXTSPLIT(Z24,"."),_xlpm.total,SUMPRODUCT(_xlpm.ip,{16777216,65536,256,1})-1,_xlpm.last,QUOTIENT(_xlpm.total,16777216)&amp;"."&amp;MOD(QUOTIENT(_xlpm.total,65536),256)&amp;"."&amp;MOD(QUOTIENT(_xlpm.total,256),256)&amp;"."&amp;MOD(_xlpm.total,256),V24&amp;" - "&amp;_xlpm.last))</f>
        <v>10.20.1.1 - 10.20.1.1</v>
      </c>
      <c r="AE24" s="28"/>
      <c r="AF24" s="28"/>
      <c r="AG24" s="28"/>
      <c r="AH24" s="28"/>
    </row>
    <row r="25" spans="1:34">
      <c r="A25" s="3">
        <v>70</v>
      </c>
      <c r="B25" s="2" t="s">
        <v>46</v>
      </c>
      <c r="C25" s="2" t="s">
        <v>55</v>
      </c>
      <c r="D25" s="2" t="s">
        <v>47</v>
      </c>
      <c r="E25" s="3" t="s">
        <v>34</v>
      </c>
      <c r="F25" s="3" t="s">
        <v>34</v>
      </c>
      <c r="G25" s="1">
        <v>8</v>
      </c>
      <c r="H25" s="4">
        <f t="shared" si="0"/>
        <v>2</v>
      </c>
      <c r="I25" s="1">
        <v>0</v>
      </c>
      <c r="J25" s="4">
        <f t="shared" si="1"/>
        <v>10</v>
      </c>
      <c r="K25" s="4">
        <f t="shared" si="2"/>
        <v>28</v>
      </c>
      <c r="L25" s="4" t="str">
        <f t="shared" si="3"/>
        <v>/28</v>
      </c>
      <c r="M25" s="4">
        <f t="shared" si="4"/>
        <v>14</v>
      </c>
      <c r="N25" s="4">
        <f t="shared" si="5"/>
        <v>3</v>
      </c>
      <c r="O25" s="4">
        <f t="shared" si="6"/>
        <v>16</v>
      </c>
      <c r="P25" s="4" t="str">
        <f t="shared" si="7"/>
        <v>255.255.255.240</v>
      </c>
      <c r="Q25" s="4">
        <f t="shared" si="8"/>
        <v>16</v>
      </c>
      <c r="R25" s="4">
        <f>IF(E25&lt;&gt;"Yes","",COUNTIFS($C$4:$C$33,C25,$E$4:$E$33,"Yes",$O$4:$O$33,"&gt;"&amp;O25)+COUNTIFS($C$4:C25,C25,$E$4:E25,"Yes",$O$4:O25,O25))</f>
        <v>6</v>
      </c>
      <c r="S25" s="4" t="str" cm="1">
        <f t="array" ref="S25">IF(E25&lt;&gt;"Yes","",_xlfn.LET(_xlpm.base,IF(C25="SYD","10.10.0.0",IF(C25="CBR","10.20.0.0","")),_xlpm.ip,--_xlfn.TEXTSPLIT(_xlpm.base,"."),_xlpm.offset,SUMIFS($O$4:$O$33,$C$4:$C$33,C25,$E$4:$E$33,"Yes",$R$4:$R$33,"&lt;"&amp;R25),_xlpm.total,SUMPRODUCT(_xlpm.ip,{16777216,65536,256,1})+_xlpm.offset,QUOTIENT(_xlpm.total,16777216)&amp;"."&amp;MOD(QUOTIENT(_xlpm.total,65536),256)&amp;"."&amp;MOD(QUOTIENT(_xlpm.total,256),256)&amp;"."&amp;MOD(_xlpm.total,256)))</f>
        <v>10.20.0.240</v>
      </c>
      <c r="T25" s="4" t="str" cm="1">
        <f t="array" ref="T25">IF(E25&lt;&gt;"Yes","",_xlfn.LET(_xlpm.ip,--_xlfn.TEXTSPLIT(S25,"."),_xlpm.n,O25-1,_xlpm.total,SUMPRODUCT(_xlpm.ip,{16777216,65536,256,1})+_xlpm.n,QUOTIENT(_xlpm.total,16777216)&amp;"."&amp;MOD(QUOTIENT(_xlpm.total,65536),256)&amp;"."&amp;MOD(QUOTIENT(_xlpm.total,256),256)&amp;"."&amp;MOD(_xlpm.total,256)))</f>
        <v>10.20.0.255</v>
      </c>
      <c r="U25" s="4" t="str">
        <f t="shared" si="9"/>
        <v>10.20.0.240</v>
      </c>
      <c r="V25" s="4" t="str" cm="1">
        <f t="array" ref="V25">IF(E25&lt;&gt;"Yes","",_xlfn.LET(_xlpm.ip,--_xlfn.TEXTSPLIT(S25,"."),_xlpm.total,SUMPRODUCT(_xlpm.ip,{16777216,65536,256,1})+1,QUOTIENT(_xlpm.total,16777216)&amp;"."&amp;MOD(QUOTIENT(_xlpm.total,65536),256)&amp;"."&amp;MOD(QUOTIENT(_xlpm.total,256),256)&amp;"."&amp;MOD(_xlpm.total,256)))</f>
        <v>10.20.0.241</v>
      </c>
      <c r="W25" s="4" t="str" cm="1">
        <f t="array" ref="W25">IF(E25&lt;&gt;"Yes","",_xlfn.LET(_xlpm.ip,--_xlfn.TEXTSPLIT(T25,"."),_xlpm.total,SUMPRODUCT(_xlpm.ip,{16777216,65536,256,1})-1,QUOTIENT(_xlpm.total,16777216)&amp;"."&amp;MOD(QUOTIENT(_xlpm.total,65536),256)&amp;"."&amp;MOD(QUOTIENT(_xlpm.total,256),256)&amp;"."&amp;MOD(_xlpm.total,256)))</f>
        <v>10.20.0.254</v>
      </c>
      <c r="X25" s="4" t="str">
        <f t="shared" si="10"/>
        <v>10.20.0.241</v>
      </c>
      <c r="Y25" s="4" t="str">
        <f t="shared" si="11"/>
        <v>10.20.0.240/28</v>
      </c>
      <c r="Z25" s="4" t="str" cm="1">
        <f t="array" ref="Z25">IF(OR(E25&lt;&gt;"Yes",F25&lt;&gt;"Yes"),"",_xlfn.LET(_xlpm.ip,--_xlfn.TEXTSPLIT(V25,"."),_xlpm.n,I25+1,_xlpm.total,SUMPRODUCT(_xlpm.ip,{16777216,65536,256,1})+_xlpm.n,QUOTIENT(_xlpm.total,16777216)&amp;"."&amp;MOD(QUOTIENT(_xlpm.total,65536),256)&amp;"."&amp;MOD(QUOTIENT(_xlpm.total,256),256)&amp;"."&amp;MOD(_xlpm.total,256)))</f>
        <v>10.20.0.242</v>
      </c>
      <c r="AA25" s="4" t="str">
        <f t="shared" si="12"/>
        <v>10.20.0.254</v>
      </c>
      <c r="AB25" s="4">
        <f t="shared" si="13"/>
        <v>13</v>
      </c>
      <c r="AC25" s="4" t="str" cm="1">
        <f t="array" ref="AC25">IF(OR(E25&lt;&gt;"Yes",F25&lt;&gt;"Yes"),"",_xlfn.LET(_xlpm.ip,--_xlfn.TEXTSPLIT(Z25,"."),_xlpm.total,SUMPRODUCT(_xlpm.ip,{16777216,65536,256,1})-1,_xlpm.last,QUOTIENT(_xlpm.total,16777216)&amp;"."&amp;MOD(QUOTIENT(_xlpm.total,65536),256)&amp;"."&amp;MOD(QUOTIENT(_xlpm.total,256),256)&amp;"."&amp;MOD(_xlpm.total,256),V25&amp;" - "&amp;_xlpm.last))</f>
        <v>10.20.0.241 - 10.20.0.241</v>
      </c>
      <c r="AF25" s="28"/>
      <c r="AG25" s="28"/>
      <c r="AH25" s="28"/>
    </row>
    <row r="26" spans="1:34">
      <c r="A26" s="3">
        <v>99</v>
      </c>
      <c r="B26" s="2" t="s">
        <v>48</v>
      </c>
      <c r="C26" s="2" t="s">
        <v>55</v>
      </c>
      <c r="D26" s="2" t="s">
        <v>49</v>
      </c>
      <c r="E26" s="3" t="s">
        <v>34</v>
      </c>
      <c r="F26" s="3" t="s">
        <v>37</v>
      </c>
      <c r="G26" s="1">
        <v>3</v>
      </c>
      <c r="H26" s="4">
        <f t="shared" si="0"/>
        <v>0.75</v>
      </c>
      <c r="I26" s="1">
        <v>0</v>
      </c>
      <c r="J26" s="4">
        <f t="shared" si="1"/>
        <v>4</v>
      </c>
      <c r="K26" s="4">
        <f t="shared" si="2"/>
        <v>29</v>
      </c>
      <c r="L26" s="4" t="str">
        <f t="shared" si="3"/>
        <v>/29</v>
      </c>
      <c r="M26" s="4">
        <f t="shared" si="4"/>
        <v>6</v>
      </c>
      <c r="N26" s="4">
        <f t="shared" si="5"/>
        <v>1</v>
      </c>
      <c r="O26" s="4">
        <f t="shared" si="6"/>
        <v>8</v>
      </c>
      <c r="P26" s="4" t="str">
        <f t="shared" si="7"/>
        <v>255.255.255.248</v>
      </c>
      <c r="Q26" s="4">
        <f t="shared" si="8"/>
        <v>8</v>
      </c>
      <c r="R26" s="4">
        <f>IF(E26&lt;&gt;"Yes","",COUNTIFS($C$4:$C$33,C26,$E$4:$E$33,"Yes",$O$4:$O$33,"&gt;"&amp;O26)+COUNTIFS($C$4:C26,C26,$E$4:E26,"Yes",$O$4:O26,O26))</f>
        <v>8</v>
      </c>
      <c r="S26" s="4" t="str" cm="1">
        <f t="array" ref="S26">IF(E26&lt;&gt;"Yes","",_xlfn.LET(_xlpm.base,IF(C26="SYD","10.10.0.0",IF(C26="CBR","10.20.0.0","")),_xlpm.ip,--_xlfn.TEXTSPLIT(_xlpm.base,"."),_xlpm.offset,SUMIFS($O$4:$O$33,$C$4:$C$33,C26,$E$4:$E$33,"Yes",$R$4:$R$33,"&lt;"&amp;R26),_xlpm.total,SUMPRODUCT(_xlpm.ip,{16777216,65536,256,1})+_xlpm.offset,QUOTIENT(_xlpm.total,16777216)&amp;"."&amp;MOD(QUOTIENT(_xlpm.total,65536),256)&amp;"."&amp;MOD(QUOTIENT(_xlpm.total,256),256)&amp;"."&amp;MOD(_xlpm.total,256)))</f>
        <v>10.20.1.8</v>
      </c>
      <c r="T26" s="4" t="str" cm="1">
        <f t="array" ref="T26">IF(E26&lt;&gt;"Yes","",_xlfn.LET(_xlpm.ip,--_xlfn.TEXTSPLIT(S26,"."),_xlpm.n,O26-1,_xlpm.total,SUMPRODUCT(_xlpm.ip,{16777216,65536,256,1})+_xlpm.n,QUOTIENT(_xlpm.total,16777216)&amp;"."&amp;MOD(QUOTIENT(_xlpm.total,65536),256)&amp;"."&amp;MOD(QUOTIENT(_xlpm.total,256),256)&amp;"."&amp;MOD(_xlpm.total,256)))</f>
        <v>10.20.1.15</v>
      </c>
      <c r="U26" s="4" t="str">
        <f t="shared" si="9"/>
        <v>10.20.1.8</v>
      </c>
      <c r="V26" s="4" t="str" cm="1">
        <f t="array" ref="V26">IF(E26&lt;&gt;"Yes","",_xlfn.LET(_xlpm.ip,--_xlfn.TEXTSPLIT(S26,"."),_xlpm.total,SUMPRODUCT(_xlpm.ip,{16777216,65536,256,1})+1,QUOTIENT(_xlpm.total,16777216)&amp;"."&amp;MOD(QUOTIENT(_xlpm.total,65536),256)&amp;"."&amp;MOD(QUOTIENT(_xlpm.total,256),256)&amp;"."&amp;MOD(_xlpm.total,256)))</f>
        <v>10.20.1.9</v>
      </c>
      <c r="W26" s="4" t="str" cm="1">
        <f t="array" ref="W26">IF(E26&lt;&gt;"Yes","",_xlfn.LET(_xlpm.ip,--_xlfn.TEXTSPLIT(T26,"."),_xlpm.total,SUMPRODUCT(_xlpm.ip,{16777216,65536,256,1})-1,QUOTIENT(_xlpm.total,16777216)&amp;"."&amp;MOD(QUOTIENT(_xlpm.total,65536),256)&amp;"."&amp;MOD(QUOTIENT(_xlpm.total,256),256)&amp;"."&amp;MOD(_xlpm.total,256)))</f>
        <v>10.20.1.14</v>
      </c>
      <c r="X26" s="4" t="str">
        <f t="shared" si="10"/>
        <v>10.20.1.9</v>
      </c>
      <c r="Y26" s="4" t="str">
        <f t="shared" si="11"/>
        <v>10.20.1.8/29</v>
      </c>
      <c r="Z26" s="4" t="str" cm="1">
        <f t="array" ref="Z26">IF(OR(E26&lt;&gt;"Yes",F26&lt;&gt;"Yes"),"",_xlfn.LET(_xlpm.ip,--_xlfn.TEXTSPLIT(V26,"."),_xlpm.n,I26+1,_xlpm.total,SUMPRODUCT(_xlpm.ip,{16777216,65536,256,1})+_xlpm.n,QUOTIENT(_xlpm.total,16777216)&amp;"."&amp;MOD(QUOTIENT(_xlpm.total,65536),256)&amp;"."&amp;MOD(QUOTIENT(_xlpm.total,256),256)&amp;"."&amp;MOD(_xlpm.total,256)))</f>
        <v/>
      </c>
      <c r="AA26" s="4" t="str">
        <f t="shared" si="12"/>
        <v/>
      </c>
      <c r="AB26" s="4" t="str">
        <f t="shared" si="13"/>
        <v/>
      </c>
      <c r="AC26" s="4" t="str" cm="1">
        <f t="array" ref="AC26">IF(OR(E26&lt;&gt;"Yes",F26&lt;&gt;"Yes"),"",_xlfn.LET(_xlpm.ip,--_xlfn.TEXTSPLIT(Z26,"."),_xlpm.total,SUMPRODUCT(_xlpm.ip,{16777216,65536,256,1})-1,_xlpm.last,QUOTIENT(_xlpm.total,16777216)&amp;"."&amp;MOD(QUOTIENT(_xlpm.total,65536),256)&amp;"."&amp;MOD(QUOTIENT(_xlpm.total,256),256)&amp;"."&amp;MOD(_xlpm.total,256),V26&amp;" - "&amp;_xlpm.last))</f>
        <v/>
      </c>
    </row>
    <row r="27" spans="1:34">
      <c r="A27" s="3">
        <v>998</v>
      </c>
      <c r="B27" s="2" t="s">
        <v>50</v>
      </c>
      <c r="C27" s="2" t="s">
        <v>55</v>
      </c>
      <c r="D27" s="2" t="s">
        <v>51</v>
      </c>
      <c r="E27" s="3" t="s">
        <v>37</v>
      </c>
      <c r="F27" s="3" t="s">
        <v>37</v>
      </c>
      <c r="G27" s="1"/>
      <c r="H27" s="4">
        <f t="shared" si="0"/>
        <v>0</v>
      </c>
      <c r="I27" s="1">
        <v>0</v>
      </c>
      <c r="J27" s="4">
        <f t="shared" si="1"/>
        <v>0</v>
      </c>
      <c r="K27" s="4" t="str">
        <f t="shared" si="2"/>
        <v/>
      </c>
      <c r="L27" s="4" t="str">
        <f t="shared" si="3"/>
        <v/>
      </c>
      <c r="M27" s="4" t="str">
        <f t="shared" si="4"/>
        <v/>
      </c>
      <c r="N27" s="4" t="str">
        <f t="shared" si="5"/>
        <v/>
      </c>
      <c r="O27" s="4" t="str">
        <f t="shared" si="6"/>
        <v/>
      </c>
      <c r="P27" s="4" t="str">
        <f t="shared" si="7"/>
        <v/>
      </c>
      <c r="Q27" s="4" t="str">
        <f t="shared" si="8"/>
        <v/>
      </c>
      <c r="R27" s="4" t="str">
        <f>IF(E27&lt;&gt;"Yes","",COUNTIFS($C$4:$C$33,C27,$E$4:$E$33,"Yes",$O$4:$O$33,"&gt;"&amp;O27)+COUNTIFS($C$4:C27,C27,$E$4:E27,"Yes",$O$4:O27,O27))</f>
        <v/>
      </c>
      <c r="S27" s="4" t="str" cm="1">
        <f t="array" ref="S27">IF(E27&lt;&gt;"Yes","",_xlfn.LET(_xlpm.base,IF(C27="SYD","10.10.0.0",IF(C27="CBR","10.20.0.0","")),_xlpm.ip,--_xlfn.TEXTSPLIT(_xlpm.base,"."),_xlpm.offset,SUMIFS($O$4:$O$33,$C$4:$C$33,C27,$E$4:$E$33,"Yes",$R$4:$R$33,"&lt;"&amp;R27),_xlpm.total,SUMPRODUCT(_xlpm.ip,{16777216,65536,256,1})+_xlpm.offset,QUOTIENT(_xlpm.total,16777216)&amp;"."&amp;MOD(QUOTIENT(_xlpm.total,65536),256)&amp;"."&amp;MOD(QUOTIENT(_xlpm.total,256),256)&amp;"."&amp;MOD(_xlpm.total,256)))</f>
        <v/>
      </c>
      <c r="T27" s="4" t="str" cm="1">
        <f t="array" ref="T27">IF(E27&lt;&gt;"Yes","",_xlfn.LET(_xlpm.ip,--_xlfn.TEXTSPLIT(S27,"."),_xlpm.n,O27-1,_xlpm.total,SUMPRODUCT(_xlpm.ip,{16777216,65536,256,1})+_xlpm.n,QUOTIENT(_xlpm.total,16777216)&amp;"."&amp;MOD(QUOTIENT(_xlpm.total,65536),256)&amp;"."&amp;MOD(QUOTIENT(_xlpm.total,256),256)&amp;"."&amp;MOD(_xlpm.total,256)))</f>
        <v/>
      </c>
      <c r="U27" s="4" t="str">
        <f t="shared" si="9"/>
        <v/>
      </c>
      <c r="V27" s="4" t="str" cm="1">
        <f t="array" ref="V27">IF(E27&lt;&gt;"Yes","",_xlfn.LET(_xlpm.ip,--_xlfn.TEXTSPLIT(S27,"."),_xlpm.total,SUMPRODUCT(_xlpm.ip,{16777216,65536,256,1})+1,QUOTIENT(_xlpm.total,16777216)&amp;"."&amp;MOD(QUOTIENT(_xlpm.total,65536),256)&amp;"."&amp;MOD(QUOTIENT(_xlpm.total,256),256)&amp;"."&amp;MOD(_xlpm.total,256)))</f>
        <v/>
      </c>
      <c r="W27" s="4" t="str" cm="1">
        <f t="array" ref="W27">IF(E27&lt;&gt;"Yes","",_xlfn.LET(_xlpm.ip,--_xlfn.TEXTSPLIT(T27,"."),_xlpm.total,SUMPRODUCT(_xlpm.ip,{16777216,65536,256,1})-1,QUOTIENT(_xlpm.total,16777216)&amp;"."&amp;MOD(QUOTIENT(_xlpm.total,65536),256)&amp;"."&amp;MOD(QUOTIENT(_xlpm.total,256),256)&amp;"."&amp;MOD(_xlpm.total,256)))</f>
        <v/>
      </c>
      <c r="X27" s="4" t="str">
        <f t="shared" si="10"/>
        <v/>
      </c>
      <c r="Y27" s="4" t="str">
        <f t="shared" si="11"/>
        <v/>
      </c>
      <c r="Z27" s="4" t="str" cm="1">
        <f t="array" ref="Z27">IF(OR(E27&lt;&gt;"Yes",F27&lt;&gt;"Yes"),"",_xlfn.LET(_xlpm.ip,--_xlfn.TEXTSPLIT(V27,"."),_xlpm.n,I27+1,_xlpm.total,SUMPRODUCT(_xlpm.ip,{16777216,65536,256,1})+_xlpm.n,QUOTIENT(_xlpm.total,16777216)&amp;"."&amp;MOD(QUOTIENT(_xlpm.total,65536),256)&amp;"."&amp;MOD(QUOTIENT(_xlpm.total,256),256)&amp;"."&amp;MOD(_xlpm.total,256)))</f>
        <v/>
      </c>
      <c r="AA27" s="4" t="str">
        <f t="shared" si="12"/>
        <v/>
      </c>
      <c r="AB27" s="4" t="str">
        <f t="shared" si="13"/>
        <v/>
      </c>
      <c r="AC27" s="4" t="str" cm="1">
        <f t="array" ref="AC27">IF(OR(E27&lt;&gt;"Yes",F27&lt;&gt;"Yes"),"",_xlfn.LET(_xlpm.ip,--_xlfn.TEXTSPLIT(Z27,"."),_xlpm.total,SUMPRODUCT(_xlpm.ip,{16777216,65536,256,1})-1,_xlpm.last,QUOTIENT(_xlpm.total,16777216)&amp;"."&amp;MOD(QUOTIENT(_xlpm.total,65536),256)&amp;"."&amp;MOD(QUOTIENT(_xlpm.total,256),256)&amp;"."&amp;MOD(_xlpm.total,256),V27&amp;" - "&amp;_xlpm.last))</f>
        <v/>
      </c>
    </row>
    <row r="28" spans="1:34">
      <c r="A28" s="3">
        <v>999</v>
      </c>
      <c r="B28" s="2" t="s">
        <v>52</v>
      </c>
      <c r="C28" s="2" t="s">
        <v>55</v>
      </c>
      <c r="D28" s="2" t="s">
        <v>53</v>
      </c>
      <c r="E28" s="3" t="s">
        <v>37</v>
      </c>
      <c r="F28" s="3" t="s">
        <v>37</v>
      </c>
      <c r="G28" s="1"/>
      <c r="H28" s="4">
        <f t="shared" si="0"/>
        <v>0</v>
      </c>
      <c r="I28" s="1">
        <v>0</v>
      </c>
      <c r="J28" s="4">
        <f t="shared" si="1"/>
        <v>0</v>
      </c>
      <c r="K28" s="4" t="str">
        <f t="shared" si="2"/>
        <v/>
      </c>
      <c r="L28" s="4" t="str">
        <f t="shared" si="3"/>
        <v/>
      </c>
      <c r="M28" s="4" t="str">
        <f t="shared" si="4"/>
        <v/>
      </c>
      <c r="N28" s="4" t="str">
        <f t="shared" si="5"/>
        <v/>
      </c>
      <c r="O28" s="4" t="str">
        <f t="shared" si="6"/>
        <v/>
      </c>
      <c r="P28" s="4" t="str">
        <f t="shared" si="7"/>
        <v/>
      </c>
      <c r="Q28" s="4" t="str">
        <f t="shared" si="8"/>
        <v/>
      </c>
      <c r="R28" s="4" t="str">
        <f>IF(E28&lt;&gt;"Yes","",COUNTIFS($C$4:$C$33,C28,$E$4:$E$33,"Yes",$O$4:$O$33,"&gt;"&amp;O28)+COUNTIFS($C$4:C28,C28,$E$4:E28,"Yes",$O$4:O28,O28))</f>
        <v/>
      </c>
      <c r="S28" s="4" t="str" cm="1">
        <f t="array" ref="S28">IF(E28&lt;&gt;"Yes","",_xlfn.LET(_xlpm.base,IF(C28="SYD","10.10.0.0",IF(C28="CBR","10.20.0.0","")),_xlpm.ip,--_xlfn.TEXTSPLIT(_xlpm.base,"."),_xlpm.offset,SUMIFS($O$4:$O$33,$C$4:$C$33,C28,$E$4:$E$33,"Yes",$R$4:$R$33,"&lt;"&amp;R28),_xlpm.total,SUMPRODUCT(_xlpm.ip,{16777216,65536,256,1})+_xlpm.offset,QUOTIENT(_xlpm.total,16777216)&amp;"."&amp;MOD(QUOTIENT(_xlpm.total,65536),256)&amp;"."&amp;MOD(QUOTIENT(_xlpm.total,256),256)&amp;"."&amp;MOD(_xlpm.total,256)))</f>
        <v/>
      </c>
      <c r="T28" s="4" t="str" cm="1">
        <f t="array" ref="T28">IF(E28&lt;&gt;"Yes","",_xlfn.LET(_xlpm.ip,--_xlfn.TEXTSPLIT(S28,"."),_xlpm.n,O28-1,_xlpm.total,SUMPRODUCT(_xlpm.ip,{16777216,65536,256,1})+_xlpm.n,QUOTIENT(_xlpm.total,16777216)&amp;"."&amp;MOD(QUOTIENT(_xlpm.total,65536),256)&amp;"."&amp;MOD(QUOTIENT(_xlpm.total,256),256)&amp;"."&amp;MOD(_xlpm.total,256)))</f>
        <v/>
      </c>
      <c r="U28" s="4" t="str">
        <f t="shared" si="9"/>
        <v/>
      </c>
      <c r="V28" s="4" t="str" cm="1">
        <f t="array" ref="V28">IF(E28&lt;&gt;"Yes","",_xlfn.LET(_xlpm.ip,--_xlfn.TEXTSPLIT(S28,"."),_xlpm.total,SUMPRODUCT(_xlpm.ip,{16777216,65536,256,1})+1,QUOTIENT(_xlpm.total,16777216)&amp;"."&amp;MOD(QUOTIENT(_xlpm.total,65536),256)&amp;"."&amp;MOD(QUOTIENT(_xlpm.total,256),256)&amp;"."&amp;MOD(_xlpm.total,256)))</f>
        <v/>
      </c>
      <c r="W28" s="4" t="str" cm="1">
        <f t="array" ref="W28">IF(E28&lt;&gt;"Yes","",_xlfn.LET(_xlpm.ip,--_xlfn.TEXTSPLIT(T28,"."),_xlpm.total,SUMPRODUCT(_xlpm.ip,{16777216,65536,256,1})-1,QUOTIENT(_xlpm.total,16777216)&amp;"."&amp;MOD(QUOTIENT(_xlpm.total,65536),256)&amp;"."&amp;MOD(QUOTIENT(_xlpm.total,256),256)&amp;"."&amp;MOD(_xlpm.total,256)))</f>
        <v/>
      </c>
      <c r="X28" s="4" t="str">
        <f t="shared" si="10"/>
        <v/>
      </c>
      <c r="Y28" s="4" t="str">
        <f t="shared" si="11"/>
        <v/>
      </c>
      <c r="Z28" s="4" t="str" cm="1">
        <f t="array" ref="Z28">IF(OR(E28&lt;&gt;"Yes",F28&lt;&gt;"Yes"),"",_xlfn.LET(_xlpm.ip,--_xlfn.TEXTSPLIT(V28,"."),_xlpm.n,I28+1,_xlpm.total,SUMPRODUCT(_xlpm.ip,{16777216,65536,256,1})+_xlpm.n,QUOTIENT(_xlpm.total,16777216)&amp;"."&amp;MOD(QUOTIENT(_xlpm.total,65536),256)&amp;"."&amp;MOD(QUOTIENT(_xlpm.total,256),256)&amp;"."&amp;MOD(_xlpm.total,256)))</f>
        <v/>
      </c>
      <c r="AA28" s="4" t="str">
        <f t="shared" si="12"/>
        <v/>
      </c>
      <c r="AB28" s="4" t="str">
        <f t="shared" si="13"/>
        <v/>
      </c>
      <c r="AC28" s="4" t="str" cm="1">
        <f t="array" ref="AC28">IF(OR(E28&lt;&gt;"Yes",F28&lt;&gt;"Yes"),"",_xlfn.LET(_xlpm.ip,--_xlfn.TEXTSPLIT(Z28,"."),_xlpm.total,SUMPRODUCT(_xlpm.ip,{16777216,65536,256,1})-1,_xlpm.last,QUOTIENT(_xlpm.total,16777216)&amp;"."&amp;MOD(QUOTIENT(_xlpm.total,65536),256)&amp;"."&amp;MOD(QUOTIENT(_xlpm.total,256),256)&amp;"."&amp;MOD(_xlpm.total,256),V28&amp;" - "&amp;_xlpm.last))</f>
        <v/>
      </c>
    </row>
    <row r="29" spans="1:34" hidden="1">
      <c r="A29" s="3"/>
      <c r="B29" s="2"/>
      <c r="C29" s="2"/>
      <c r="D29" s="2"/>
      <c r="E29" s="3" t="s">
        <v>37</v>
      </c>
      <c r="F29" s="3" t="s">
        <v>37</v>
      </c>
      <c r="G29" s="1"/>
      <c r="H29" s="4">
        <f t="shared" si="0"/>
        <v>0</v>
      </c>
      <c r="I29" s="1">
        <v>0</v>
      </c>
      <c r="J29" s="4">
        <f t="shared" si="1"/>
        <v>0</v>
      </c>
      <c r="K29" s="4" t="str">
        <f t="shared" si="2"/>
        <v/>
      </c>
      <c r="L29" s="4" t="str">
        <f t="shared" si="3"/>
        <v/>
      </c>
      <c r="M29" s="4" t="str">
        <f t="shared" si="4"/>
        <v/>
      </c>
      <c r="N29" s="4" t="str">
        <f t="shared" si="5"/>
        <v/>
      </c>
      <c r="O29" s="4" t="str">
        <f t="shared" si="6"/>
        <v/>
      </c>
      <c r="P29" s="4" t="str">
        <f t="shared" si="7"/>
        <v/>
      </c>
      <c r="Q29" s="4" t="str">
        <f t="shared" si="8"/>
        <v/>
      </c>
      <c r="R29" s="4" t="str">
        <f>IF(E29&lt;&gt;"Yes","",COUNTIFS($C$4:$C$33,C29,$E$4:$E$33,"Yes",$O$4:$O$33,"&gt;"&amp;O29)+COUNTIFS($C$4:C29,C29,$E$4:E29,"Yes",$O$4:O29,O29))</f>
        <v/>
      </c>
      <c r="S29" s="4" t="str" cm="1">
        <f t="array" ref="S29">IF(E29&lt;&gt;"Yes","",_xlfn.LET(_xlpm.base,IF(C29="SYD","10.10.0.0",IF(C29="CBR","10.20.0.0","")),_xlpm.ip,--_xlfn.TEXTSPLIT(_xlpm.base,"."),_xlpm.offset,SUMIFS($O$4:$O$33,$C$4:$C$33,C29,$E$4:$E$33,"Yes",$R$4:$R$33,"&lt;"&amp;R29),_xlpm.total,SUMPRODUCT(_xlpm.ip,{16777216,65536,256,1})+_xlpm.offset,QUOTIENT(_xlpm.total,16777216)&amp;"."&amp;MOD(QUOTIENT(_xlpm.total,65536),256)&amp;"."&amp;MOD(QUOTIENT(_xlpm.total,256),256)&amp;"."&amp;MOD(_xlpm.total,256)))</f>
        <v/>
      </c>
      <c r="T29" s="4" t="str" cm="1">
        <f t="array" ref="T29">IF(E29&lt;&gt;"Yes","",_xlfn.LET(_xlpm.ip,--_xlfn.TEXTSPLIT(S29,"."),_xlpm.n,O29-1,_xlpm.total,SUMPRODUCT(_xlpm.ip,{16777216,65536,256,1})+_xlpm.n,QUOTIENT(_xlpm.total,16777216)&amp;"."&amp;MOD(QUOTIENT(_xlpm.total,65536),256)&amp;"."&amp;MOD(QUOTIENT(_xlpm.total,256),256)&amp;"."&amp;MOD(_xlpm.total,256)))</f>
        <v/>
      </c>
      <c r="U29" s="4" t="str">
        <f t="shared" si="9"/>
        <v/>
      </c>
      <c r="V29" s="4" t="str" cm="1">
        <f t="array" ref="V29">IF(E29&lt;&gt;"Yes","",_xlfn.LET(_xlpm.ip,--_xlfn.TEXTSPLIT(S29,"."),_xlpm.total,SUMPRODUCT(_xlpm.ip,{16777216,65536,256,1})+1,QUOTIENT(_xlpm.total,16777216)&amp;"."&amp;MOD(QUOTIENT(_xlpm.total,65536),256)&amp;"."&amp;MOD(QUOTIENT(_xlpm.total,256),256)&amp;"."&amp;MOD(_xlpm.total,256)))</f>
        <v/>
      </c>
      <c r="W29" s="4" t="str" cm="1">
        <f t="array" ref="W29">IF(E29&lt;&gt;"Yes","",_xlfn.LET(_xlpm.ip,--_xlfn.TEXTSPLIT(T29,"."),_xlpm.total,SUMPRODUCT(_xlpm.ip,{16777216,65536,256,1})-1,QUOTIENT(_xlpm.total,16777216)&amp;"."&amp;MOD(QUOTIENT(_xlpm.total,65536),256)&amp;"."&amp;MOD(QUOTIENT(_xlpm.total,256),256)&amp;"."&amp;MOD(_xlpm.total,256)))</f>
        <v/>
      </c>
      <c r="X29" s="4" t="str">
        <f t="shared" si="10"/>
        <v/>
      </c>
      <c r="Y29" s="4" t="str">
        <f t="shared" si="11"/>
        <v/>
      </c>
      <c r="Z29" s="4" t="str" cm="1">
        <f t="array" ref="Z29">IF(OR(E29&lt;&gt;"Yes",F29&lt;&gt;"Yes"),"",_xlfn.LET(_xlpm.ip,--_xlfn.TEXTSPLIT(V29,"."),_xlpm.n,I29+1,_xlpm.total,SUMPRODUCT(_xlpm.ip,{16777216,65536,256,1})+_xlpm.n,QUOTIENT(_xlpm.total,16777216)&amp;"."&amp;MOD(QUOTIENT(_xlpm.total,65536),256)&amp;"."&amp;MOD(QUOTIENT(_xlpm.total,256),256)&amp;"."&amp;MOD(_xlpm.total,256)))</f>
        <v/>
      </c>
      <c r="AA29" s="4" t="str">
        <f t="shared" si="12"/>
        <v/>
      </c>
      <c r="AB29" s="4" t="str">
        <f t="shared" si="13"/>
        <v/>
      </c>
      <c r="AC29" s="4" t="str" cm="1">
        <f t="array" ref="AC29">IF(OR(E29&lt;&gt;"Yes",F29&lt;&gt;"Yes"),"",_xlfn.LET(_xlpm.ip,--_xlfn.TEXTSPLIT(Z29,"."),_xlpm.total,SUMPRODUCT(_xlpm.ip,{16777216,65536,256,1})-1,_xlpm.last,QUOTIENT(_xlpm.total,16777216)&amp;"."&amp;MOD(QUOTIENT(_xlpm.total,65536),256)&amp;"."&amp;MOD(QUOTIENT(_xlpm.total,256),256)&amp;"."&amp;MOD(_xlpm.total,256),V29&amp;" - "&amp;_xlpm.last))</f>
        <v/>
      </c>
    </row>
    <row r="30" spans="1:34" hidden="1">
      <c r="A30" s="3"/>
      <c r="B30" s="2"/>
      <c r="C30" s="2"/>
      <c r="D30" s="2"/>
      <c r="E30" s="3" t="s">
        <v>37</v>
      </c>
      <c r="F30" s="3" t="s">
        <v>37</v>
      </c>
      <c r="G30" s="1"/>
      <c r="H30" s="4">
        <f t="shared" si="0"/>
        <v>0</v>
      </c>
      <c r="I30" s="1">
        <v>0</v>
      </c>
      <c r="J30" s="4">
        <f t="shared" si="1"/>
        <v>0</v>
      </c>
      <c r="K30" s="4" t="str">
        <f t="shared" si="2"/>
        <v/>
      </c>
      <c r="L30" s="4" t="str">
        <f t="shared" si="3"/>
        <v/>
      </c>
      <c r="M30" s="4" t="str">
        <f t="shared" si="4"/>
        <v/>
      </c>
      <c r="N30" s="4" t="str">
        <f t="shared" si="5"/>
        <v/>
      </c>
      <c r="O30" s="4" t="str">
        <f t="shared" si="6"/>
        <v/>
      </c>
      <c r="P30" s="4" t="str">
        <f t="shared" si="7"/>
        <v/>
      </c>
      <c r="Q30" s="4" t="str">
        <f t="shared" si="8"/>
        <v/>
      </c>
      <c r="R30" s="4" t="str">
        <f>IF(E30&lt;&gt;"Yes","",COUNTIFS($C$4:$C$33,C30,$E$4:$E$33,"Yes",$O$4:$O$33,"&gt;"&amp;O30)+COUNTIFS($C$4:C30,C30,$E$4:E30,"Yes",$O$4:O30,O30))</f>
        <v/>
      </c>
      <c r="S30" s="4" t="str" cm="1">
        <f t="array" ref="S30">IF(E30&lt;&gt;"Yes","",_xlfn.LET(_xlpm.base,IF(C30="SYD","10.10.0.0",IF(C30="CBR","10.20.0.0","")),_xlpm.ip,--_xlfn.TEXTSPLIT(_xlpm.base,"."),_xlpm.offset,SUMIFS($O$4:$O$33,$C$4:$C$33,C30,$E$4:$E$33,"Yes",$R$4:$R$33,"&lt;"&amp;R30),_xlpm.total,SUMPRODUCT(_xlpm.ip,{16777216,65536,256,1})+_xlpm.offset,QUOTIENT(_xlpm.total,16777216)&amp;"."&amp;MOD(QUOTIENT(_xlpm.total,65536),256)&amp;"."&amp;MOD(QUOTIENT(_xlpm.total,256),256)&amp;"."&amp;MOD(_xlpm.total,256)))</f>
        <v/>
      </c>
      <c r="T30" s="4" t="str" cm="1">
        <f t="array" ref="T30">IF(E30&lt;&gt;"Yes","",_xlfn.LET(_xlpm.ip,--_xlfn.TEXTSPLIT(S30,"."),_xlpm.n,O30-1,_xlpm.total,SUMPRODUCT(_xlpm.ip,{16777216,65536,256,1})+_xlpm.n,QUOTIENT(_xlpm.total,16777216)&amp;"."&amp;MOD(QUOTIENT(_xlpm.total,65536),256)&amp;"."&amp;MOD(QUOTIENT(_xlpm.total,256),256)&amp;"."&amp;MOD(_xlpm.total,256)))</f>
        <v/>
      </c>
      <c r="U30" s="4" t="str">
        <f t="shared" si="9"/>
        <v/>
      </c>
      <c r="V30" s="4" t="str" cm="1">
        <f t="array" ref="V30">IF(E30&lt;&gt;"Yes","",_xlfn.LET(_xlpm.ip,--_xlfn.TEXTSPLIT(S30,"."),_xlpm.total,SUMPRODUCT(_xlpm.ip,{16777216,65536,256,1})+1,QUOTIENT(_xlpm.total,16777216)&amp;"."&amp;MOD(QUOTIENT(_xlpm.total,65536),256)&amp;"."&amp;MOD(QUOTIENT(_xlpm.total,256),256)&amp;"."&amp;MOD(_xlpm.total,256)))</f>
        <v/>
      </c>
      <c r="W30" s="4" t="str" cm="1">
        <f t="array" ref="W30">IF(E30&lt;&gt;"Yes","",_xlfn.LET(_xlpm.ip,--_xlfn.TEXTSPLIT(T30,"."),_xlpm.total,SUMPRODUCT(_xlpm.ip,{16777216,65536,256,1})-1,QUOTIENT(_xlpm.total,16777216)&amp;"."&amp;MOD(QUOTIENT(_xlpm.total,65536),256)&amp;"."&amp;MOD(QUOTIENT(_xlpm.total,256),256)&amp;"."&amp;MOD(_xlpm.total,256)))</f>
        <v/>
      </c>
      <c r="X30" s="4" t="str">
        <f t="shared" si="10"/>
        <v/>
      </c>
      <c r="Y30" s="4" t="str">
        <f t="shared" si="11"/>
        <v/>
      </c>
      <c r="Z30" s="4" t="str" cm="1">
        <f t="array" ref="Z30">IF(OR(E30&lt;&gt;"Yes",F30&lt;&gt;"Yes"),"",_xlfn.LET(_xlpm.ip,--_xlfn.TEXTSPLIT(V30,"."),_xlpm.n,I30+1,_xlpm.total,SUMPRODUCT(_xlpm.ip,{16777216,65536,256,1})+_xlpm.n,QUOTIENT(_xlpm.total,16777216)&amp;"."&amp;MOD(QUOTIENT(_xlpm.total,65536),256)&amp;"."&amp;MOD(QUOTIENT(_xlpm.total,256),256)&amp;"."&amp;MOD(_xlpm.total,256)))</f>
        <v/>
      </c>
      <c r="AA30" s="4" t="str">
        <f t="shared" si="12"/>
        <v/>
      </c>
      <c r="AB30" s="4" t="str">
        <f t="shared" si="13"/>
        <v/>
      </c>
      <c r="AC30" s="4" t="str" cm="1">
        <f t="array" ref="AC30">IF(OR(E30&lt;&gt;"Yes",F30&lt;&gt;"Yes"),"",_xlfn.LET(_xlpm.ip,--_xlfn.TEXTSPLIT(Z30,"."),_xlpm.total,SUMPRODUCT(_xlpm.ip,{16777216,65536,256,1})-1,_xlpm.last,QUOTIENT(_xlpm.total,16777216)&amp;"."&amp;MOD(QUOTIENT(_xlpm.total,65536),256)&amp;"."&amp;MOD(QUOTIENT(_xlpm.total,256),256)&amp;"."&amp;MOD(_xlpm.total,256),V30&amp;" - "&amp;_xlpm.last))</f>
        <v/>
      </c>
    </row>
    <row r="31" spans="1:34" hidden="1">
      <c r="A31" s="3"/>
      <c r="B31" s="2"/>
      <c r="C31" s="2"/>
      <c r="D31" s="2"/>
      <c r="E31" s="3" t="s">
        <v>37</v>
      </c>
      <c r="F31" s="3" t="s">
        <v>37</v>
      </c>
      <c r="G31" s="1"/>
      <c r="H31" s="4">
        <f t="shared" si="0"/>
        <v>0</v>
      </c>
      <c r="I31" s="1">
        <v>0</v>
      </c>
      <c r="J31" s="4">
        <f t="shared" si="1"/>
        <v>0</v>
      </c>
      <c r="K31" s="4" t="str">
        <f t="shared" si="2"/>
        <v/>
      </c>
      <c r="L31" s="4" t="str">
        <f t="shared" si="3"/>
        <v/>
      </c>
      <c r="M31" s="4" t="str">
        <f t="shared" si="4"/>
        <v/>
      </c>
      <c r="N31" s="4" t="str">
        <f t="shared" si="5"/>
        <v/>
      </c>
      <c r="O31" s="4" t="str">
        <f t="shared" si="6"/>
        <v/>
      </c>
      <c r="P31" s="4" t="str">
        <f t="shared" si="7"/>
        <v/>
      </c>
      <c r="Q31" s="4" t="str">
        <f t="shared" si="8"/>
        <v/>
      </c>
      <c r="R31" s="4" t="str">
        <f>IF(E31&lt;&gt;"Yes","",COUNTIFS($C$4:$C$33,C31,$E$4:$E$33,"Yes",$O$4:$O$33,"&gt;"&amp;O31)+COUNTIFS($C$4:C31,C31,$E$4:E31,"Yes",$O$4:O31,O31))</f>
        <v/>
      </c>
      <c r="S31" s="4" t="str" cm="1">
        <f t="array" ref="S31">IF(E31&lt;&gt;"Yes","",_xlfn.LET(_xlpm.base,IF(C31="SYD","10.10.0.0",IF(C31="CBR","10.20.0.0","")),_xlpm.ip,--_xlfn.TEXTSPLIT(_xlpm.base,"."),_xlpm.offset,SUMIFS($O$4:$O$33,$C$4:$C$33,C31,$E$4:$E$33,"Yes",$R$4:$R$33,"&lt;"&amp;R31),_xlpm.total,SUMPRODUCT(_xlpm.ip,{16777216,65536,256,1})+_xlpm.offset,QUOTIENT(_xlpm.total,16777216)&amp;"."&amp;MOD(QUOTIENT(_xlpm.total,65536),256)&amp;"."&amp;MOD(QUOTIENT(_xlpm.total,256),256)&amp;"."&amp;MOD(_xlpm.total,256)))</f>
        <v/>
      </c>
      <c r="T31" s="4" t="str" cm="1">
        <f t="array" ref="T31">IF(E31&lt;&gt;"Yes","",_xlfn.LET(_xlpm.ip,--_xlfn.TEXTSPLIT(S31,"."),_xlpm.n,O31-1,_xlpm.total,SUMPRODUCT(_xlpm.ip,{16777216,65536,256,1})+_xlpm.n,QUOTIENT(_xlpm.total,16777216)&amp;"."&amp;MOD(QUOTIENT(_xlpm.total,65536),256)&amp;"."&amp;MOD(QUOTIENT(_xlpm.total,256),256)&amp;"."&amp;MOD(_xlpm.total,256)))</f>
        <v/>
      </c>
      <c r="U31" s="4" t="str">
        <f t="shared" si="9"/>
        <v/>
      </c>
      <c r="V31" s="4" t="str" cm="1">
        <f t="array" ref="V31">IF(E31&lt;&gt;"Yes","",_xlfn.LET(_xlpm.ip,--_xlfn.TEXTSPLIT(S31,"."),_xlpm.total,SUMPRODUCT(_xlpm.ip,{16777216,65536,256,1})+1,QUOTIENT(_xlpm.total,16777216)&amp;"."&amp;MOD(QUOTIENT(_xlpm.total,65536),256)&amp;"."&amp;MOD(QUOTIENT(_xlpm.total,256),256)&amp;"."&amp;MOD(_xlpm.total,256)))</f>
        <v/>
      </c>
      <c r="W31" s="4" t="str" cm="1">
        <f t="array" ref="W31">IF(E31&lt;&gt;"Yes","",_xlfn.LET(_xlpm.ip,--_xlfn.TEXTSPLIT(T31,"."),_xlpm.total,SUMPRODUCT(_xlpm.ip,{16777216,65536,256,1})-1,QUOTIENT(_xlpm.total,16777216)&amp;"."&amp;MOD(QUOTIENT(_xlpm.total,65536),256)&amp;"."&amp;MOD(QUOTIENT(_xlpm.total,256),256)&amp;"."&amp;MOD(_xlpm.total,256)))</f>
        <v/>
      </c>
      <c r="X31" s="4" t="str">
        <f t="shared" si="10"/>
        <v/>
      </c>
      <c r="Y31" s="4" t="str">
        <f t="shared" si="11"/>
        <v/>
      </c>
      <c r="Z31" s="4" t="str" cm="1">
        <f t="array" ref="Z31">IF(OR(E31&lt;&gt;"Yes",F31&lt;&gt;"Yes"),"",_xlfn.LET(_xlpm.ip,--_xlfn.TEXTSPLIT(V31,"."),_xlpm.n,I31+1,_xlpm.total,SUMPRODUCT(_xlpm.ip,{16777216,65536,256,1})+_xlpm.n,QUOTIENT(_xlpm.total,16777216)&amp;"."&amp;MOD(QUOTIENT(_xlpm.total,65536),256)&amp;"."&amp;MOD(QUOTIENT(_xlpm.total,256),256)&amp;"."&amp;MOD(_xlpm.total,256)))</f>
        <v/>
      </c>
      <c r="AA31" s="4" t="str">
        <f t="shared" si="12"/>
        <v/>
      </c>
      <c r="AB31" s="4" t="str">
        <f t="shared" si="13"/>
        <v/>
      </c>
      <c r="AC31" s="4" t="str" cm="1">
        <f t="array" ref="AC31">IF(OR(E31&lt;&gt;"Yes",F31&lt;&gt;"Yes"),"",_xlfn.LET(_xlpm.ip,--_xlfn.TEXTSPLIT(Z31,"."),_xlpm.total,SUMPRODUCT(_xlpm.ip,{16777216,65536,256,1})-1,_xlpm.last,QUOTIENT(_xlpm.total,16777216)&amp;"."&amp;MOD(QUOTIENT(_xlpm.total,65536),256)&amp;"."&amp;MOD(QUOTIENT(_xlpm.total,256),256)&amp;"."&amp;MOD(_xlpm.total,256),V31&amp;" - "&amp;_xlpm.last))</f>
        <v/>
      </c>
    </row>
    <row r="32" spans="1:34" hidden="1">
      <c r="A32" s="3"/>
      <c r="B32" s="2"/>
      <c r="C32" s="2"/>
      <c r="D32" s="2"/>
      <c r="E32" s="3" t="s">
        <v>37</v>
      </c>
      <c r="F32" s="3" t="s">
        <v>37</v>
      </c>
      <c r="G32" s="1"/>
      <c r="H32" s="4">
        <f t="shared" si="0"/>
        <v>0</v>
      </c>
      <c r="I32" s="1">
        <v>0</v>
      </c>
      <c r="J32" s="4">
        <f t="shared" si="1"/>
        <v>0</v>
      </c>
      <c r="K32" s="4" t="str">
        <f t="shared" si="2"/>
        <v/>
      </c>
      <c r="L32" s="4" t="str">
        <f t="shared" si="3"/>
        <v/>
      </c>
      <c r="M32" s="4" t="str">
        <f t="shared" si="4"/>
        <v/>
      </c>
      <c r="N32" s="4" t="str">
        <f t="shared" si="5"/>
        <v/>
      </c>
      <c r="O32" s="4" t="str">
        <f t="shared" si="6"/>
        <v/>
      </c>
      <c r="P32" s="4" t="str">
        <f t="shared" si="7"/>
        <v/>
      </c>
      <c r="Q32" s="4" t="str">
        <f t="shared" si="8"/>
        <v/>
      </c>
      <c r="R32" s="4" t="str">
        <f>IF(E32&lt;&gt;"Yes","",COUNTIFS($C$4:$C$33,C32,$E$4:$E$33,"Yes",$O$4:$O$33,"&gt;"&amp;O32)+COUNTIFS($C$4:C32,C32,$E$4:E32,"Yes",$O$4:O32,O32))</f>
        <v/>
      </c>
      <c r="S32" s="4" t="str" cm="1">
        <f t="array" ref="S32">IF(E32&lt;&gt;"Yes","",_xlfn.LET(_xlpm.base,IF(C32="SYD","10.10.0.0",IF(C32="CBR","10.20.0.0","")),_xlpm.ip,--_xlfn.TEXTSPLIT(_xlpm.base,"."),_xlpm.offset,SUMIFS($O$4:$O$33,$C$4:$C$33,C32,$E$4:$E$33,"Yes",$R$4:$R$33,"&lt;"&amp;R32),_xlpm.total,SUMPRODUCT(_xlpm.ip,{16777216,65536,256,1})+_xlpm.offset,QUOTIENT(_xlpm.total,16777216)&amp;"."&amp;MOD(QUOTIENT(_xlpm.total,65536),256)&amp;"."&amp;MOD(QUOTIENT(_xlpm.total,256),256)&amp;"."&amp;MOD(_xlpm.total,256)))</f>
        <v/>
      </c>
      <c r="T32" s="4" t="str" cm="1">
        <f t="array" ref="T32">IF(E32&lt;&gt;"Yes","",_xlfn.LET(_xlpm.ip,--_xlfn.TEXTSPLIT(S32,"."),_xlpm.n,O32-1,_xlpm.total,SUMPRODUCT(_xlpm.ip,{16777216,65536,256,1})+_xlpm.n,QUOTIENT(_xlpm.total,16777216)&amp;"."&amp;MOD(QUOTIENT(_xlpm.total,65536),256)&amp;"."&amp;MOD(QUOTIENT(_xlpm.total,256),256)&amp;"."&amp;MOD(_xlpm.total,256)))</f>
        <v/>
      </c>
      <c r="U32" s="4" t="str">
        <f t="shared" si="9"/>
        <v/>
      </c>
      <c r="V32" s="4" t="str" cm="1">
        <f t="array" ref="V32">IF(E32&lt;&gt;"Yes","",_xlfn.LET(_xlpm.ip,--_xlfn.TEXTSPLIT(S32,"."),_xlpm.total,SUMPRODUCT(_xlpm.ip,{16777216,65536,256,1})+1,QUOTIENT(_xlpm.total,16777216)&amp;"."&amp;MOD(QUOTIENT(_xlpm.total,65536),256)&amp;"."&amp;MOD(QUOTIENT(_xlpm.total,256),256)&amp;"."&amp;MOD(_xlpm.total,256)))</f>
        <v/>
      </c>
      <c r="W32" s="4" t="str" cm="1">
        <f t="array" ref="W32">IF(E32&lt;&gt;"Yes","",_xlfn.LET(_xlpm.ip,--_xlfn.TEXTSPLIT(T32,"."),_xlpm.total,SUMPRODUCT(_xlpm.ip,{16777216,65536,256,1})-1,QUOTIENT(_xlpm.total,16777216)&amp;"."&amp;MOD(QUOTIENT(_xlpm.total,65536),256)&amp;"."&amp;MOD(QUOTIENT(_xlpm.total,256),256)&amp;"."&amp;MOD(_xlpm.total,256)))</f>
        <v/>
      </c>
      <c r="X32" s="4" t="str">
        <f t="shared" si="10"/>
        <v/>
      </c>
      <c r="Y32" s="4" t="str">
        <f t="shared" si="11"/>
        <v/>
      </c>
      <c r="Z32" s="4" t="str" cm="1">
        <f t="array" ref="Z32">IF(OR(E32&lt;&gt;"Yes",F32&lt;&gt;"Yes"),"",_xlfn.LET(_xlpm.ip,--_xlfn.TEXTSPLIT(V32,"."),_xlpm.n,I32+1,_xlpm.total,SUMPRODUCT(_xlpm.ip,{16777216,65536,256,1})+_xlpm.n,QUOTIENT(_xlpm.total,16777216)&amp;"."&amp;MOD(QUOTIENT(_xlpm.total,65536),256)&amp;"."&amp;MOD(QUOTIENT(_xlpm.total,256),256)&amp;"."&amp;MOD(_xlpm.total,256)))</f>
        <v/>
      </c>
      <c r="AA32" s="4" t="str">
        <f t="shared" si="12"/>
        <v/>
      </c>
      <c r="AB32" s="4" t="str">
        <f t="shared" si="13"/>
        <v/>
      </c>
      <c r="AC32" s="4" t="str" cm="1">
        <f t="array" ref="AC32">IF(OR(E32&lt;&gt;"Yes",F32&lt;&gt;"Yes"),"",_xlfn.LET(_xlpm.ip,--_xlfn.TEXTSPLIT(Z32,"."),_xlpm.total,SUMPRODUCT(_xlpm.ip,{16777216,65536,256,1})-1,_xlpm.last,QUOTIENT(_xlpm.total,16777216)&amp;"."&amp;MOD(QUOTIENT(_xlpm.total,65536),256)&amp;"."&amp;MOD(QUOTIENT(_xlpm.total,256),256)&amp;"."&amp;MOD(_xlpm.total,256),V32&amp;" - "&amp;_xlpm.last))</f>
        <v/>
      </c>
    </row>
    <row r="33" spans="1:29" hidden="1">
      <c r="A33" s="3"/>
      <c r="B33" s="2"/>
      <c r="C33" s="2"/>
      <c r="D33" s="2"/>
      <c r="E33" s="3" t="s">
        <v>37</v>
      </c>
      <c r="F33" s="3" t="s">
        <v>37</v>
      </c>
      <c r="G33" s="1"/>
      <c r="H33" s="4">
        <f t="shared" si="0"/>
        <v>0</v>
      </c>
      <c r="I33" s="1">
        <v>0</v>
      </c>
      <c r="J33" s="4">
        <f t="shared" si="1"/>
        <v>0</v>
      </c>
      <c r="K33" s="4" t="str">
        <f t="shared" si="2"/>
        <v/>
      </c>
      <c r="L33" s="4" t="str">
        <f t="shared" si="3"/>
        <v/>
      </c>
      <c r="M33" s="4" t="str">
        <f t="shared" si="4"/>
        <v/>
      </c>
      <c r="N33" s="4" t="str">
        <f t="shared" si="5"/>
        <v/>
      </c>
      <c r="O33" s="4" t="str">
        <f t="shared" si="6"/>
        <v/>
      </c>
      <c r="P33" s="4" t="str">
        <f t="shared" si="7"/>
        <v/>
      </c>
      <c r="Q33" s="4" t="str">
        <f t="shared" si="8"/>
        <v/>
      </c>
      <c r="R33" s="4" t="str">
        <f>IF(E33&lt;&gt;"Yes","",COUNTIFS($C$4:$C$33,C33,$E$4:$E$33,"Yes",$O$4:$O$33,"&gt;"&amp;O33)+COUNTIFS($C$4:C33,C33,$E$4:E33,"Yes",$O$4:O33,O33))</f>
        <v/>
      </c>
      <c r="S33" s="4" t="str" cm="1">
        <f t="array" ref="S33">IF(E33&lt;&gt;"Yes","",_xlfn.LET(_xlpm.base,IF(C33="SYD","10.10.0.0",IF(C33="CBR","10.20.0.0","")),_xlpm.ip,--_xlfn.TEXTSPLIT(_xlpm.base,"."),_xlpm.offset,SUMIFS($O$4:$O$33,$C$4:$C$33,C33,$E$4:$E$33,"Yes",$R$4:$R$33,"&lt;"&amp;R33),_xlpm.total,SUMPRODUCT(_xlpm.ip,{16777216,65536,256,1})+_xlpm.offset,QUOTIENT(_xlpm.total,16777216)&amp;"."&amp;MOD(QUOTIENT(_xlpm.total,65536),256)&amp;"."&amp;MOD(QUOTIENT(_xlpm.total,256),256)&amp;"."&amp;MOD(_xlpm.total,256)))</f>
        <v/>
      </c>
      <c r="T33" s="4" t="str" cm="1">
        <f t="array" ref="T33">IF(E33&lt;&gt;"Yes","",_xlfn.LET(_xlpm.ip,--_xlfn.TEXTSPLIT(S33,"."),_xlpm.n,O33-1,_xlpm.total,SUMPRODUCT(_xlpm.ip,{16777216,65536,256,1})+_xlpm.n,QUOTIENT(_xlpm.total,16777216)&amp;"."&amp;MOD(QUOTIENT(_xlpm.total,65536),256)&amp;"."&amp;MOD(QUOTIENT(_xlpm.total,256),256)&amp;"."&amp;MOD(_xlpm.total,256)))</f>
        <v/>
      </c>
      <c r="U33" s="4" t="str">
        <f t="shared" si="9"/>
        <v/>
      </c>
      <c r="V33" s="4" t="str" cm="1">
        <f t="array" ref="V33">IF(E33&lt;&gt;"Yes","",_xlfn.LET(_xlpm.ip,--_xlfn.TEXTSPLIT(S33,"."),_xlpm.total,SUMPRODUCT(_xlpm.ip,{16777216,65536,256,1})+1,QUOTIENT(_xlpm.total,16777216)&amp;"."&amp;MOD(QUOTIENT(_xlpm.total,65536),256)&amp;"."&amp;MOD(QUOTIENT(_xlpm.total,256),256)&amp;"."&amp;MOD(_xlpm.total,256)))</f>
        <v/>
      </c>
      <c r="W33" s="4" t="str" cm="1">
        <f t="array" ref="W33">IF(E33&lt;&gt;"Yes","",_xlfn.LET(_xlpm.ip,--_xlfn.TEXTSPLIT(T33,"."),_xlpm.total,SUMPRODUCT(_xlpm.ip,{16777216,65536,256,1})-1,QUOTIENT(_xlpm.total,16777216)&amp;"."&amp;MOD(QUOTIENT(_xlpm.total,65536),256)&amp;"."&amp;MOD(QUOTIENT(_xlpm.total,256),256)&amp;"."&amp;MOD(_xlpm.total,256)))</f>
        <v/>
      </c>
      <c r="X33" s="4" t="str">
        <f t="shared" si="10"/>
        <v/>
      </c>
      <c r="Y33" s="4" t="str">
        <f t="shared" si="11"/>
        <v/>
      </c>
      <c r="Z33" s="4" t="str" cm="1">
        <f t="array" ref="Z33">IF(OR(E33&lt;&gt;"Yes",F33&lt;&gt;"Yes"),"",_xlfn.LET(_xlpm.ip,--_xlfn.TEXTSPLIT(V33,"."),_xlpm.n,I33+1,_xlpm.total,SUMPRODUCT(_xlpm.ip,{16777216,65536,256,1})+_xlpm.n,QUOTIENT(_xlpm.total,16777216)&amp;"."&amp;MOD(QUOTIENT(_xlpm.total,65536),256)&amp;"."&amp;MOD(QUOTIENT(_xlpm.total,256),256)&amp;"."&amp;MOD(_xlpm.total,256)))</f>
        <v/>
      </c>
      <c r="AA33" s="4" t="str">
        <f t="shared" si="12"/>
        <v/>
      </c>
      <c r="AB33" s="4" t="str">
        <f t="shared" si="13"/>
        <v/>
      </c>
      <c r="AC33" s="4" t="str" cm="1">
        <f t="array" ref="AC33">IF(OR(E33&lt;&gt;"Yes",F33&lt;&gt;"Yes"),"",_xlfn.LET(_xlpm.ip,--_xlfn.TEXTSPLIT(Z33,"."),_xlpm.total,SUMPRODUCT(_xlpm.ip,{16777216,65536,256,1})-1,_xlpm.last,QUOTIENT(_xlpm.total,16777216)&amp;"."&amp;MOD(QUOTIENT(_xlpm.total,65536),256)&amp;"."&amp;MOD(QUOTIENT(_xlpm.total,256),256)&amp;"."&amp;MOD(_xlpm.total,256),V33&amp;" - "&amp;_xlpm.last))</f>
        <v/>
      </c>
    </row>
    <row r="34" spans="1:29" hidden="1"/>
    <row r="35" spans="1:29" ht="38.25" customHeight="1">
      <c r="A35" s="66" t="s">
        <v>57</v>
      </c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8"/>
    </row>
    <row r="36" spans="1:29" ht="23.25" customHeight="1">
      <c r="A36" s="64" t="s">
        <v>58</v>
      </c>
      <c r="B36" s="65"/>
      <c r="C36" s="65" t="s">
        <v>59</v>
      </c>
      <c r="D36" s="65"/>
      <c r="E36" s="65" t="s">
        <v>60</v>
      </c>
      <c r="F36" s="65"/>
      <c r="G36" s="65" t="s">
        <v>25</v>
      </c>
      <c r="H36" s="65"/>
      <c r="I36" s="65" t="s">
        <v>61</v>
      </c>
      <c r="J36" s="65"/>
      <c r="K36" s="65" t="s">
        <v>62</v>
      </c>
      <c r="L36" s="65"/>
      <c r="M36" s="65" t="s">
        <v>63</v>
      </c>
      <c r="N36" s="65"/>
      <c r="O36" s="65" t="s">
        <v>64</v>
      </c>
      <c r="P36" s="65"/>
      <c r="Q36" s="65" t="s">
        <v>65</v>
      </c>
      <c r="R36" s="65"/>
      <c r="S36" s="65"/>
      <c r="T36" s="65"/>
      <c r="U36" s="65"/>
      <c r="V36" s="65"/>
      <c r="W36" s="69"/>
    </row>
    <row r="37" spans="1:29" ht="45.75" customHeight="1">
      <c r="A37" s="61" t="s">
        <v>32</v>
      </c>
      <c r="B37" s="60"/>
      <c r="C37" s="53" t="s">
        <v>66</v>
      </c>
      <c r="D37" s="53"/>
      <c r="E37" s="53" t="s">
        <v>67</v>
      </c>
      <c r="F37" s="53"/>
      <c r="G37" s="59" t="s">
        <v>68</v>
      </c>
      <c r="H37" s="59"/>
      <c r="I37" s="60" t="s">
        <v>69</v>
      </c>
      <c r="J37" s="60"/>
      <c r="K37" s="59" t="s">
        <v>70</v>
      </c>
      <c r="L37" s="59"/>
      <c r="M37" s="60" t="s">
        <v>71</v>
      </c>
      <c r="N37" s="60"/>
      <c r="O37" s="59" t="s">
        <v>72</v>
      </c>
      <c r="P37" s="59"/>
      <c r="Q37" s="51" t="s">
        <v>73</v>
      </c>
      <c r="R37" s="51"/>
      <c r="S37" s="51"/>
      <c r="T37" s="51"/>
      <c r="U37" s="51"/>
      <c r="V37" s="51"/>
      <c r="W37" s="52"/>
    </row>
    <row r="38" spans="1:29" ht="15.75" customHeight="1">
      <c r="A38" s="61" t="s">
        <v>32</v>
      </c>
      <c r="B38" s="60"/>
      <c r="C38" s="53" t="s">
        <v>74</v>
      </c>
      <c r="D38" s="53"/>
      <c r="E38" s="53" t="s">
        <v>75</v>
      </c>
      <c r="F38" s="53"/>
      <c r="G38" s="59" t="s">
        <v>76</v>
      </c>
      <c r="H38" s="59"/>
      <c r="I38" s="60" t="s">
        <v>71</v>
      </c>
      <c r="J38" s="60"/>
      <c r="K38" s="59"/>
      <c r="L38" s="59"/>
      <c r="M38" s="60" t="s">
        <v>77</v>
      </c>
      <c r="N38" s="60"/>
      <c r="O38" s="59"/>
      <c r="P38" s="59"/>
      <c r="Q38" s="53" t="s">
        <v>78</v>
      </c>
      <c r="R38" s="53"/>
      <c r="S38" s="53"/>
      <c r="T38" s="53"/>
      <c r="U38" s="53"/>
      <c r="V38" s="53"/>
      <c r="W38" s="54"/>
    </row>
    <row r="39" spans="1:29" ht="45.75" customHeight="1">
      <c r="A39" s="61" t="s">
        <v>55</v>
      </c>
      <c r="B39" s="60"/>
      <c r="C39" s="53" t="s">
        <v>79</v>
      </c>
      <c r="D39" s="53"/>
      <c r="E39" s="53" t="s">
        <v>67</v>
      </c>
      <c r="F39" s="53"/>
      <c r="G39" s="59" t="s">
        <v>80</v>
      </c>
      <c r="H39" s="59"/>
      <c r="I39" s="60" t="s">
        <v>81</v>
      </c>
      <c r="J39" s="60"/>
      <c r="K39" s="59" t="s">
        <v>82</v>
      </c>
      <c r="L39" s="59"/>
      <c r="M39" s="60" t="s">
        <v>83</v>
      </c>
      <c r="N39" s="60"/>
      <c r="O39" s="59" t="s">
        <v>84</v>
      </c>
      <c r="P39" s="59"/>
      <c r="Q39" s="51" t="s">
        <v>73</v>
      </c>
      <c r="R39" s="51"/>
      <c r="S39" s="51"/>
      <c r="T39" s="51"/>
      <c r="U39" s="51"/>
      <c r="V39" s="51"/>
      <c r="W39" s="52"/>
    </row>
    <row r="40" spans="1:29" ht="14.25" customHeight="1">
      <c r="A40" s="49" t="s">
        <v>55</v>
      </c>
      <c r="B40" s="39"/>
      <c r="C40" s="50" t="s">
        <v>85</v>
      </c>
      <c r="D40" s="50"/>
      <c r="E40" s="50" t="s">
        <v>75</v>
      </c>
      <c r="F40" s="50"/>
      <c r="G40" s="40" t="s">
        <v>86</v>
      </c>
      <c r="H40" s="40"/>
      <c r="I40" s="39" t="s">
        <v>83</v>
      </c>
      <c r="J40" s="39"/>
      <c r="K40" s="40"/>
      <c r="L40" s="40"/>
      <c r="M40" s="39" t="s">
        <v>77</v>
      </c>
      <c r="N40" s="39"/>
      <c r="O40" s="40"/>
      <c r="P40" s="40"/>
      <c r="Q40" s="50" t="s">
        <v>78</v>
      </c>
      <c r="R40" s="50"/>
      <c r="S40" s="50"/>
      <c r="T40" s="50"/>
      <c r="U40" s="50"/>
      <c r="V40" s="50"/>
      <c r="W40" s="55"/>
    </row>
    <row r="41" spans="1:29" ht="24">
      <c r="A41" s="66" t="s">
        <v>87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8"/>
    </row>
    <row r="42" spans="1:29">
      <c r="A42" s="49" t="s">
        <v>55</v>
      </c>
      <c r="B42" s="39"/>
      <c r="C42" s="50" t="s">
        <v>88</v>
      </c>
      <c r="D42" s="50"/>
      <c r="E42" s="41" t="s">
        <v>89</v>
      </c>
      <c r="F42" s="47"/>
      <c r="G42" s="40" t="s">
        <v>90</v>
      </c>
      <c r="H42" s="40"/>
      <c r="I42" s="39" t="s">
        <v>91</v>
      </c>
      <c r="J42" s="39"/>
      <c r="K42" s="40" t="s">
        <v>92</v>
      </c>
      <c r="L42" s="40"/>
      <c r="M42" s="39" t="s">
        <v>93</v>
      </c>
      <c r="N42" s="39"/>
      <c r="O42" s="40" t="s">
        <v>94</v>
      </c>
      <c r="P42" s="40"/>
      <c r="Q42" s="41" t="s">
        <v>95</v>
      </c>
      <c r="R42" s="42"/>
      <c r="S42" s="42"/>
      <c r="T42" s="42"/>
      <c r="U42" s="42"/>
      <c r="V42" s="42"/>
      <c r="W42" s="43"/>
    </row>
    <row r="43" spans="1:29">
      <c r="A43" s="49" t="s">
        <v>32</v>
      </c>
      <c r="B43" s="39"/>
      <c r="C43" s="50" t="s">
        <v>88</v>
      </c>
      <c r="D43" s="50"/>
      <c r="E43" s="44"/>
      <c r="F43" s="48"/>
      <c r="G43" s="40" t="s">
        <v>90</v>
      </c>
      <c r="H43" s="40"/>
      <c r="I43" s="39" t="s">
        <v>93</v>
      </c>
      <c r="J43" s="39"/>
      <c r="K43" s="40" t="s">
        <v>94</v>
      </c>
      <c r="L43" s="40"/>
      <c r="M43" s="39" t="s">
        <v>91</v>
      </c>
      <c r="N43" s="39"/>
      <c r="O43" s="40" t="s">
        <v>92</v>
      </c>
      <c r="P43" s="40"/>
      <c r="Q43" s="44"/>
      <c r="R43" s="45"/>
      <c r="S43" s="45"/>
      <c r="T43" s="45"/>
      <c r="U43" s="45"/>
      <c r="V43" s="45"/>
      <c r="W43" s="46"/>
    </row>
  </sheetData>
  <sortState xmlns:xlrd2="http://schemas.microsoft.com/office/spreadsheetml/2017/richdata2" ref="B4:R5">
    <sortCondition descending="1" ref="J4:J5"/>
  </sortState>
  <mergeCells count="66">
    <mergeCell ref="A41:W41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A37:B37"/>
    <mergeCell ref="C37:D37"/>
    <mergeCell ref="E37:F37"/>
    <mergeCell ref="G37:H37"/>
    <mergeCell ref="I37:J37"/>
    <mergeCell ref="A1:AC1"/>
    <mergeCell ref="A36:B36"/>
    <mergeCell ref="C36:D36"/>
    <mergeCell ref="E36:F36"/>
    <mergeCell ref="G36:H36"/>
    <mergeCell ref="I36:J36"/>
    <mergeCell ref="K36:L36"/>
    <mergeCell ref="M36:N36"/>
    <mergeCell ref="O36:P36"/>
    <mergeCell ref="A35:W35"/>
    <mergeCell ref="Q36:W36"/>
    <mergeCell ref="A3:AC3"/>
    <mergeCell ref="Q37:W37"/>
    <mergeCell ref="Q38:W38"/>
    <mergeCell ref="Q39:W39"/>
    <mergeCell ref="Q40:W40"/>
    <mergeCell ref="A18:AC18"/>
    <mergeCell ref="K37:L37"/>
    <mergeCell ref="M37:N37"/>
    <mergeCell ref="O37:P37"/>
    <mergeCell ref="A38:B38"/>
    <mergeCell ref="C38:D38"/>
    <mergeCell ref="E38:F38"/>
    <mergeCell ref="G38:H38"/>
    <mergeCell ref="I38:J38"/>
    <mergeCell ref="K38:L38"/>
    <mergeCell ref="M38:N38"/>
    <mergeCell ref="O38:P38"/>
    <mergeCell ref="M43:N43"/>
    <mergeCell ref="O43:P43"/>
    <mergeCell ref="Q42:W43"/>
    <mergeCell ref="E42:F43"/>
    <mergeCell ref="A42:B42"/>
    <mergeCell ref="A43:B43"/>
    <mergeCell ref="C42:D42"/>
    <mergeCell ref="G42:H42"/>
    <mergeCell ref="I42:J42"/>
    <mergeCell ref="K42:L42"/>
    <mergeCell ref="M42:N42"/>
    <mergeCell ref="O42:P42"/>
    <mergeCell ref="C43:D43"/>
    <mergeCell ref="G43:H43"/>
    <mergeCell ref="I43:J43"/>
    <mergeCell ref="K43:L43"/>
  </mergeCells>
  <conditionalFormatting sqref="E4:F17 E19:F33 A18">
    <cfRule type="containsText" dxfId="1" priority="2" operator="containsText" text="Yes">
      <formula>NOT(ISERROR(SEARCH("Yes",A4)))</formula>
    </cfRule>
  </conditionalFormatting>
  <conditionalFormatting sqref="E4:F17 E19:F33 A18">
    <cfRule type="containsText" dxfId="0" priority="1" operator="containsText" text="No">
      <formula>NOT(ISERROR(SEARCH("No",A4)))</formula>
    </cfRule>
  </conditionalFormatting>
  <dataValidations count="2">
    <dataValidation type="list" allowBlank="1" showInputMessage="1" showErrorMessage="1" sqref="E4:F17 E19:F33" xr:uid="{E7C81DE9-E86E-48B6-A03C-E955FF2052F3}">
      <formula1>"Yes,No"</formula1>
    </dataValidation>
    <dataValidation allowBlank="1" showInputMessage="1" showErrorMessage="1" sqref="A18:AC18" xr:uid="{8520BC54-6860-43B2-98FE-B4AE4AD679AE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AA074-601F-4585-8834-438B5CE291ED}">
  <dimension ref="A1:M52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5"/>
  <cols>
    <col min="1" max="1" width="17.85546875" style="13" customWidth="1"/>
    <col min="2" max="2" width="13.85546875" style="13" customWidth="1"/>
    <col min="3" max="3" width="14.7109375" style="9" customWidth="1"/>
    <col min="4" max="4" width="12.7109375" style="9" customWidth="1"/>
    <col min="5" max="5" width="16.5703125" style="9" customWidth="1"/>
    <col min="6" max="6" width="16.5703125" style="11" customWidth="1"/>
    <col min="7" max="7" width="16.42578125" style="11" customWidth="1"/>
    <col min="8" max="8" width="15.85546875" style="11" customWidth="1"/>
    <col min="9" max="9" width="7.28515625" style="9" customWidth="1"/>
    <col min="10" max="10" width="10.7109375" style="9" customWidth="1"/>
    <col min="11" max="11" width="16.7109375" style="9" customWidth="1"/>
    <col min="12" max="12" width="17.7109375" style="13" customWidth="1"/>
    <col min="13" max="13" width="36.7109375" style="13" customWidth="1"/>
    <col min="14" max="16384" width="9.140625" style="13"/>
  </cols>
  <sheetData>
    <row r="1" spans="1:13" s="10" customFormat="1" ht="30.75" customHeight="1">
      <c r="A1" s="12" t="s">
        <v>96</v>
      </c>
      <c r="B1" s="12" t="s">
        <v>97</v>
      </c>
      <c r="C1" s="12" t="s">
        <v>98</v>
      </c>
      <c r="D1" s="12" t="s">
        <v>99</v>
      </c>
      <c r="E1" s="12" t="s">
        <v>100</v>
      </c>
      <c r="F1" s="27" t="s">
        <v>24</v>
      </c>
      <c r="G1" s="27" t="s">
        <v>19</v>
      </c>
      <c r="H1" s="27" t="s">
        <v>101</v>
      </c>
      <c r="I1" s="12" t="s">
        <v>12</v>
      </c>
      <c r="J1" s="12" t="s">
        <v>102</v>
      </c>
      <c r="K1" s="12" t="s">
        <v>103</v>
      </c>
      <c r="L1" s="26" t="s">
        <v>104</v>
      </c>
      <c r="M1" s="12" t="s">
        <v>4</v>
      </c>
    </row>
    <row r="2" spans="1:13" ht="26.25" customHeight="1">
      <c r="A2" s="34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>
      <c r="A3" s="35" t="s">
        <v>71</v>
      </c>
      <c r="B3" s="15" t="s">
        <v>105</v>
      </c>
      <c r="C3" s="16" t="s">
        <v>106</v>
      </c>
      <c r="D3" s="16"/>
      <c r="E3" s="17" t="s">
        <v>107</v>
      </c>
      <c r="F3" s="17" t="s">
        <v>106</v>
      </c>
      <c r="G3" s="17" t="s">
        <v>108</v>
      </c>
      <c r="H3" s="17" t="s">
        <v>109</v>
      </c>
      <c r="I3" s="16" t="s">
        <v>110</v>
      </c>
      <c r="J3" s="16" t="s">
        <v>106</v>
      </c>
      <c r="K3" s="16" t="s">
        <v>111</v>
      </c>
      <c r="L3" s="18" t="s">
        <v>106</v>
      </c>
      <c r="M3" s="18" t="s">
        <v>75</v>
      </c>
    </row>
    <row r="4" spans="1:13" ht="33" customHeight="1">
      <c r="A4" s="35"/>
      <c r="B4" s="15" t="s">
        <v>112</v>
      </c>
      <c r="C4" s="16" t="s">
        <v>113</v>
      </c>
      <c r="D4" s="19" t="s">
        <v>114</v>
      </c>
      <c r="E4" s="17" t="s">
        <v>106</v>
      </c>
      <c r="F4" s="17" t="s">
        <v>106</v>
      </c>
      <c r="G4" s="17" t="s">
        <v>106</v>
      </c>
      <c r="H4" s="17" t="s">
        <v>106</v>
      </c>
      <c r="I4" s="16" t="s">
        <v>106</v>
      </c>
      <c r="J4" s="16"/>
      <c r="K4" s="16" t="s">
        <v>69</v>
      </c>
      <c r="L4" s="18" t="s">
        <v>115</v>
      </c>
      <c r="M4" s="20" t="s">
        <v>116</v>
      </c>
    </row>
    <row r="5" spans="1:13" ht="33" customHeight="1">
      <c r="A5" s="35"/>
      <c r="B5" s="21" t="s">
        <v>117</v>
      </c>
      <c r="C5" s="16" t="s">
        <v>106</v>
      </c>
      <c r="D5" s="19" t="s">
        <v>118</v>
      </c>
      <c r="E5" s="17" t="s">
        <v>72</v>
      </c>
      <c r="F5" s="17" t="s">
        <v>106</v>
      </c>
      <c r="G5" s="17" t="s">
        <v>119</v>
      </c>
      <c r="H5" s="22" t="s">
        <v>109</v>
      </c>
      <c r="I5" s="16" t="s">
        <v>110</v>
      </c>
      <c r="J5" s="16" t="s">
        <v>106</v>
      </c>
      <c r="K5" s="19" t="s">
        <v>120</v>
      </c>
      <c r="L5" s="18" t="s">
        <v>121</v>
      </c>
      <c r="M5" s="18" t="s">
        <v>122</v>
      </c>
    </row>
    <row r="6" spans="1:13">
      <c r="A6" s="35"/>
      <c r="B6" s="15" t="s">
        <v>88</v>
      </c>
      <c r="C6" s="16" t="s">
        <v>106</v>
      </c>
      <c r="D6" s="19"/>
      <c r="E6" s="17" t="s">
        <v>94</v>
      </c>
      <c r="F6" s="17"/>
      <c r="G6" s="17" t="s">
        <v>123</v>
      </c>
      <c r="H6" s="22" t="s">
        <v>109</v>
      </c>
      <c r="I6" s="16" t="s">
        <v>110</v>
      </c>
      <c r="J6" s="16"/>
      <c r="K6" s="16" t="s">
        <v>91</v>
      </c>
      <c r="L6" s="18" t="s">
        <v>106</v>
      </c>
      <c r="M6" s="18" t="s">
        <v>124</v>
      </c>
    </row>
    <row r="7" spans="1:13" ht="33" customHeight="1">
      <c r="A7" s="35" t="s">
        <v>69</v>
      </c>
      <c r="B7" s="15" t="s">
        <v>125</v>
      </c>
      <c r="C7" s="16" t="s">
        <v>113</v>
      </c>
      <c r="D7" s="19" t="s">
        <v>114</v>
      </c>
      <c r="E7" s="17" t="s">
        <v>106</v>
      </c>
      <c r="F7" s="17" t="s">
        <v>106</v>
      </c>
      <c r="G7" s="17" t="s">
        <v>106</v>
      </c>
      <c r="H7" s="17" t="s">
        <v>106</v>
      </c>
      <c r="I7" s="16" t="s">
        <v>106</v>
      </c>
      <c r="J7" s="16" t="s">
        <v>106</v>
      </c>
      <c r="K7" s="16" t="s">
        <v>71</v>
      </c>
      <c r="L7" s="18" t="s">
        <v>115</v>
      </c>
      <c r="M7" s="18" t="s">
        <v>116</v>
      </c>
    </row>
    <row r="8" spans="1:13" ht="33" customHeight="1">
      <c r="A8" s="35"/>
      <c r="B8" s="15" t="s">
        <v>117</v>
      </c>
      <c r="C8" s="16" t="s">
        <v>106</v>
      </c>
      <c r="D8" s="19" t="s">
        <v>118</v>
      </c>
      <c r="E8" s="17" t="s">
        <v>70</v>
      </c>
      <c r="F8" s="17" t="s">
        <v>106</v>
      </c>
      <c r="G8" s="17" t="s">
        <v>119</v>
      </c>
      <c r="H8" s="17" t="s">
        <v>109</v>
      </c>
      <c r="I8" s="16" t="s">
        <v>110</v>
      </c>
      <c r="J8" s="16" t="s">
        <v>106</v>
      </c>
      <c r="K8" s="16" t="s">
        <v>126</v>
      </c>
      <c r="L8" s="18" t="s">
        <v>121</v>
      </c>
      <c r="M8" s="18" t="s">
        <v>127</v>
      </c>
    </row>
    <row r="9" spans="1:13" ht="31.5" customHeight="1">
      <c r="A9" s="35"/>
      <c r="B9" s="23" t="s">
        <v>128</v>
      </c>
      <c r="C9" s="16" t="s">
        <v>129</v>
      </c>
      <c r="D9" s="19" t="s">
        <v>130</v>
      </c>
      <c r="E9" s="17" t="s">
        <v>106</v>
      </c>
      <c r="F9" s="17" t="s">
        <v>106</v>
      </c>
      <c r="G9" s="17" t="s">
        <v>106</v>
      </c>
      <c r="H9" s="17" t="s">
        <v>106</v>
      </c>
      <c r="I9" s="16" t="s">
        <v>106</v>
      </c>
      <c r="J9" s="16" t="s">
        <v>106</v>
      </c>
      <c r="K9" s="16" t="s">
        <v>131</v>
      </c>
      <c r="L9" s="18" t="s">
        <v>121</v>
      </c>
      <c r="M9" s="23" t="s">
        <v>132</v>
      </c>
    </row>
    <row r="10" spans="1:13" ht="31.5" customHeight="1">
      <c r="A10" s="35"/>
      <c r="B10" s="16" t="s">
        <v>129</v>
      </c>
      <c r="C10" s="16" t="s">
        <v>106</v>
      </c>
      <c r="D10" s="16" t="s">
        <v>133</v>
      </c>
      <c r="E10" s="17" t="s">
        <v>106</v>
      </c>
      <c r="F10" s="17" t="s">
        <v>106</v>
      </c>
      <c r="G10" s="17" t="s">
        <v>106</v>
      </c>
      <c r="H10" s="17" t="s">
        <v>106</v>
      </c>
      <c r="I10" s="16" t="s">
        <v>106</v>
      </c>
      <c r="J10" s="16" t="s">
        <v>106</v>
      </c>
      <c r="K10" s="16" t="s">
        <v>134</v>
      </c>
      <c r="L10" s="18"/>
      <c r="M10" s="23"/>
    </row>
    <row r="11" spans="1:13" ht="48.75" customHeight="1">
      <c r="A11" s="35"/>
      <c r="B11" s="15" t="s">
        <v>135</v>
      </c>
      <c r="C11" s="16" t="s">
        <v>106</v>
      </c>
      <c r="D11" s="16" t="s">
        <v>136</v>
      </c>
      <c r="E11" s="17" t="s">
        <v>106</v>
      </c>
      <c r="F11" s="17" t="s">
        <v>106</v>
      </c>
      <c r="G11" s="17" t="s">
        <v>106</v>
      </c>
      <c r="H11" s="17" t="s">
        <v>106</v>
      </c>
      <c r="I11" s="16" t="s">
        <v>106</v>
      </c>
      <c r="J11" s="16">
        <v>20</v>
      </c>
      <c r="K11" s="19" t="s">
        <v>137</v>
      </c>
      <c r="L11" s="18" t="s">
        <v>106</v>
      </c>
      <c r="M11" s="18" t="s">
        <v>138</v>
      </c>
    </row>
    <row r="12" spans="1:13">
      <c r="A12" s="35"/>
      <c r="B12" s="15" t="s">
        <v>139</v>
      </c>
      <c r="C12" s="16" t="s">
        <v>106</v>
      </c>
      <c r="D12" s="16" t="s">
        <v>140</v>
      </c>
      <c r="E12" s="17" t="s">
        <v>141</v>
      </c>
      <c r="F12" s="17" t="s">
        <v>106</v>
      </c>
      <c r="G12" s="17" t="s">
        <v>142</v>
      </c>
      <c r="H12" s="17" t="s">
        <v>143</v>
      </c>
      <c r="I12" s="16" t="s">
        <v>144</v>
      </c>
      <c r="J12" s="16">
        <v>10</v>
      </c>
      <c r="K12" s="16" t="s">
        <v>106</v>
      </c>
      <c r="L12" s="18" t="s">
        <v>106</v>
      </c>
      <c r="M12" s="18" t="s">
        <v>145</v>
      </c>
    </row>
    <row r="13" spans="1:13">
      <c r="A13" s="35"/>
      <c r="B13" s="15" t="s">
        <v>146</v>
      </c>
      <c r="C13" s="16" t="s">
        <v>106</v>
      </c>
      <c r="D13" s="16" t="s">
        <v>140</v>
      </c>
      <c r="E13" s="17" t="s">
        <v>147</v>
      </c>
      <c r="F13" s="17" t="s">
        <v>106</v>
      </c>
      <c r="G13" s="17" t="s">
        <v>148</v>
      </c>
      <c r="H13" s="17" t="s">
        <v>149</v>
      </c>
      <c r="I13" s="16" t="s">
        <v>150</v>
      </c>
      <c r="J13" s="16">
        <v>20</v>
      </c>
      <c r="K13" s="16" t="s">
        <v>106</v>
      </c>
      <c r="L13" s="18" t="s">
        <v>106</v>
      </c>
      <c r="M13" s="18" t="s">
        <v>151</v>
      </c>
    </row>
    <row r="14" spans="1:13">
      <c r="A14" s="35"/>
      <c r="B14" s="15" t="s">
        <v>152</v>
      </c>
      <c r="C14" s="16" t="s">
        <v>106</v>
      </c>
      <c r="D14" s="16" t="s">
        <v>140</v>
      </c>
      <c r="E14" s="17" t="s">
        <v>153</v>
      </c>
      <c r="F14" s="17" t="s">
        <v>106</v>
      </c>
      <c r="G14" s="17" t="s">
        <v>154</v>
      </c>
      <c r="H14" s="17" t="s">
        <v>149</v>
      </c>
      <c r="I14" s="16" t="s">
        <v>150</v>
      </c>
      <c r="J14" s="16">
        <v>30</v>
      </c>
      <c r="K14" s="16" t="s">
        <v>106</v>
      </c>
      <c r="L14" s="18" t="s">
        <v>106</v>
      </c>
      <c r="M14" s="18" t="s">
        <v>155</v>
      </c>
    </row>
    <row r="15" spans="1:13">
      <c r="A15" s="35"/>
      <c r="B15" s="15" t="s">
        <v>156</v>
      </c>
      <c r="C15" s="16" t="s">
        <v>106</v>
      </c>
      <c r="D15" s="16" t="s">
        <v>140</v>
      </c>
      <c r="E15" s="17" t="s">
        <v>157</v>
      </c>
      <c r="F15" s="17" t="s">
        <v>106</v>
      </c>
      <c r="G15" s="17" t="s">
        <v>158</v>
      </c>
      <c r="H15" s="17" t="s">
        <v>149</v>
      </c>
      <c r="I15" s="16" t="s">
        <v>150</v>
      </c>
      <c r="J15" s="16">
        <v>40</v>
      </c>
      <c r="K15" s="16" t="s">
        <v>106</v>
      </c>
      <c r="L15" s="18" t="s">
        <v>106</v>
      </c>
      <c r="M15" s="18" t="s">
        <v>159</v>
      </c>
    </row>
    <row r="16" spans="1:13">
      <c r="A16" s="35"/>
      <c r="B16" s="15" t="s">
        <v>160</v>
      </c>
      <c r="C16" s="16" t="s">
        <v>106</v>
      </c>
      <c r="D16" s="16" t="s">
        <v>140</v>
      </c>
      <c r="E16" s="17" t="s">
        <v>161</v>
      </c>
      <c r="F16" s="17" t="s">
        <v>106</v>
      </c>
      <c r="G16" s="17" t="s">
        <v>162</v>
      </c>
      <c r="H16" s="17" t="s">
        <v>163</v>
      </c>
      <c r="I16" s="16" t="s">
        <v>164</v>
      </c>
      <c r="J16" s="16">
        <v>50</v>
      </c>
      <c r="K16" s="16" t="s">
        <v>106</v>
      </c>
      <c r="L16" s="18" t="s">
        <v>106</v>
      </c>
      <c r="M16" s="18" t="s">
        <v>165</v>
      </c>
    </row>
    <row r="17" spans="1:13">
      <c r="A17" s="35"/>
      <c r="B17" s="15" t="s">
        <v>166</v>
      </c>
      <c r="C17" s="16" t="s">
        <v>106</v>
      </c>
      <c r="D17" s="16" t="s">
        <v>140</v>
      </c>
      <c r="E17" s="17" t="s">
        <v>167</v>
      </c>
      <c r="F17" s="17" t="s">
        <v>106</v>
      </c>
      <c r="G17" s="17" t="s">
        <v>168</v>
      </c>
      <c r="H17" s="17" t="s">
        <v>163</v>
      </c>
      <c r="I17" s="16" t="s">
        <v>164</v>
      </c>
      <c r="J17" s="16">
        <v>60</v>
      </c>
      <c r="K17" s="16" t="s">
        <v>106</v>
      </c>
      <c r="L17" s="18" t="s">
        <v>106</v>
      </c>
      <c r="M17" s="18" t="s">
        <v>169</v>
      </c>
    </row>
    <row r="18" spans="1:13">
      <c r="A18" s="35"/>
      <c r="B18" s="15" t="s">
        <v>170</v>
      </c>
      <c r="C18" s="16" t="s">
        <v>106</v>
      </c>
      <c r="D18" s="16" t="s">
        <v>140</v>
      </c>
      <c r="E18" s="17" t="s">
        <v>171</v>
      </c>
      <c r="F18" s="17" t="s">
        <v>106</v>
      </c>
      <c r="G18" s="17" t="s">
        <v>172</v>
      </c>
      <c r="H18" s="17" t="s">
        <v>163</v>
      </c>
      <c r="I18" s="16" t="s">
        <v>164</v>
      </c>
      <c r="J18" s="16">
        <v>70</v>
      </c>
      <c r="K18" s="16" t="s">
        <v>106</v>
      </c>
      <c r="L18" s="18" t="s">
        <v>106</v>
      </c>
      <c r="M18" s="18" t="s">
        <v>173</v>
      </c>
    </row>
    <row r="19" spans="1:13">
      <c r="A19" s="35"/>
      <c r="B19" s="15" t="s">
        <v>174</v>
      </c>
      <c r="C19" s="16" t="s">
        <v>106</v>
      </c>
      <c r="D19" s="16" t="s">
        <v>140</v>
      </c>
      <c r="E19" s="17" t="s">
        <v>175</v>
      </c>
      <c r="F19" s="17" t="s">
        <v>106</v>
      </c>
      <c r="G19" s="17" t="s">
        <v>176</v>
      </c>
      <c r="H19" s="17" t="s">
        <v>177</v>
      </c>
      <c r="I19" s="16" t="s">
        <v>178</v>
      </c>
      <c r="J19" s="16">
        <v>99</v>
      </c>
      <c r="K19" s="16" t="s">
        <v>106</v>
      </c>
      <c r="L19" s="18" t="s">
        <v>106</v>
      </c>
      <c r="M19" s="18" t="s">
        <v>179</v>
      </c>
    </row>
    <row r="20" spans="1:13" hidden="1">
      <c r="A20" s="35"/>
      <c r="B20" s="15"/>
      <c r="C20" s="16"/>
      <c r="D20" s="16"/>
      <c r="E20" s="17"/>
      <c r="F20" s="17" t="s">
        <v>106</v>
      </c>
      <c r="G20" s="17"/>
      <c r="H20" s="17"/>
      <c r="I20" s="16"/>
      <c r="J20" s="16"/>
      <c r="K20" s="16"/>
      <c r="L20" s="18"/>
      <c r="M20" s="18"/>
    </row>
    <row r="21" spans="1:13" hidden="1">
      <c r="A21" s="35"/>
      <c r="B21" s="18"/>
      <c r="C21" s="16"/>
      <c r="D21" s="16"/>
      <c r="E21" s="17"/>
      <c r="F21" s="17" t="s">
        <v>106</v>
      </c>
      <c r="G21" s="17"/>
      <c r="H21" s="17"/>
      <c r="I21" s="16"/>
      <c r="J21" s="16"/>
      <c r="K21" s="16"/>
      <c r="L21" s="18"/>
      <c r="M21" s="18"/>
    </row>
    <row r="22" spans="1:13" hidden="1">
      <c r="A22" s="35"/>
      <c r="B22" s="18"/>
      <c r="C22" s="16"/>
      <c r="D22" s="16"/>
      <c r="E22" s="17"/>
      <c r="F22" s="17" t="s">
        <v>106</v>
      </c>
      <c r="G22" s="17"/>
      <c r="H22" s="17"/>
      <c r="I22" s="16"/>
      <c r="J22" s="16"/>
      <c r="K22" s="16"/>
      <c r="L22" s="18"/>
      <c r="M22" s="18"/>
    </row>
    <row r="23" spans="1:13" hidden="1">
      <c r="A23" s="35"/>
      <c r="B23" s="18"/>
      <c r="C23" s="16"/>
      <c r="D23" s="16"/>
      <c r="E23" s="17"/>
      <c r="F23" s="17" t="s">
        <v>106</v>
      </c>
      <c r="G23" s="17"/>
      <c r="H23" s="17"/>
      <c r="I23" s="16"/>
      <c r="J23" s="16"/>
      <c r="K23" s="16"/>
      <c r="L23" s="18"/>
      <c r="M23" s="18"/>
    </row>
    <row r="24" spans="1:13" hidden="1">
      <c r="A24" s="35"/>
      <c r="B24" s="18"/>
      <c r="C24" s="16"/>
      <c r="D24" s="16"/>
      <c r="E24" s="17"/>
      <c r="F24" s="17" t="s">
        <v>106</v>
      </c>
      <c r="G24" s="17"/>
      <c r="H24" s="17"/>
      <c r="I24" s="16"/>
      <c r="J24" s="16"/>
      <c r="K24" s="16"/>
      <c r="L24" s="18"/>
      <c r="M24" s="18"/>
    </row>
    <row r="25" spans="1:13" ht="31.5" customHeight="1">
      <c r="A25" s="37" t="s">
        <v>131</v>
      </c>
      <c r="B25" s="18" t="s">
        <v>180</v>
      </c>
      <c r="C25" s="16" t="s">
        <v>129</v>
      </c>
      <c r="D25" s="19" t="s">
        <v>130</v>
      </c>
      <c r="E25" s="17" t="s">
        <v>106</v>
      </c>
      <c r="F25" s="17" t="s">
        <v>106</v>
      </c>
      <c r="G25" s="17" t="s">
        <v>106</v>
      </c>
      <c r="H25" s="17" t="s">
        <v>106</v>
      </c>
      <c r="I25" s="16" t="s">
        <v>106</v>
      </c>
      <c r="J25" s="16" t="s">
        <v>106</v>
      </c>
      <c r="K25" s="16" t="s">
        <v>181</v>
      </c>
      <c r="L25" s="18" t="s">
        <v>121</v>
      </c>
      <c r="M25" s="23" t="s">
        <v>132</v>
      </c>
    </row>
    <row r="26" spans="1:13" ht="31.5" customHeight="1">
      <c r="A26" s="37"/>
      <c r="B26" s="16" t="s">
        <v>129</v>
      </c>
      <c r="C26" s="16" t="s">
        <v>106</v>
      </c>
      <c r="D26" s="16" t="s">
        <v>133</v>
      </c>
      <c r="E26" s="17"/>
      <c r="F26" s="17"/>
      <c r="G26" s="17"/>
      <c r="H26" s="17"/>
      <c r="I26" s="16"/>
      <c r="J26" s="16"/>
      <c r="K26" s="16"/>
      <c r="L26" s="18"/>
      <c r="M26" s="23"/>
    </row>
    <row r="27" spans="1:13">
      <c r="A27" s="38"/>
      <c r="B27" s="18" t="s">
        <v>128</v>
      </c>
      <c r="C27" s="16" t="s">
        <v>106</v>
      </c>
      <c r="D27" s="16" t="s">
        <v>136</v>
      </c>
      <c r="E27" s="17" t="s">
        <v>106</v>
      </c>
      <c r="F27" s="17" t="s">
        <v>106</v>
      </c>
      <c r="G27" s="17" t="s">
        <v>106</v>
      </c>
      <c r="H27" s="17" t="s">
        <v>106</v>
      </c>
      <c r="I27" s="16" t="s">
        <v>106</v>
      </c>
      <c r="J27" s="16">
        <v>10</v>
      </c>
      <c r="K27" s="16" t="s">
        <v>182</v>
      </c>
      <c r="L27" s="18" t="s">
        <v>183</v>
      </c>
      <c r="M27" s="18" t="s">
        <v>184</v>
      </c>
    </row>
    <row r="28" spans="1:13">
      <c r="A28" s="38"/>
      <c r="B28" s="18" t="s">
        <v>174</v>
      </c>
      <c r="C28" s="16" t="s">
        <v>106</v>
      </c>
      <c r="D28" s="16" t="s">
        <v>140</v>
      </c>
      <c r="E28" s="17" t="s">
        <v>185</v>
      </c>
      <c r="F28" s="17" t="s">
        <v>175</v>
      </c>
      <c r="G28" s="17" t="s">
        <v>176</v>
      </c>
      <c r="H28" s="17" t="s">
        <v>177</v>
      </c>
      <c r="I28" s="16" t="s">
        <v>178</v>
      </c>
      <c r="J28" s="16">
        <v>99</v>
      </c>
      <c r="K28" s="16"/>
      <c r="L28" s="18" t="s">
        <v>106</v>
      </c>
      <c r="M28" s="18" t="s">
        <v>186</v>
      </c>
    </row>
    <row r="29" spans="1:13" ht="31.5" customHeight="1">
      <c r="A29" s="24" t="s">
        <v>187</v>
      </c>
      <c r="B29" s="18" t="s">
        <v>188</v>
      </c>
      <c r="C29" s="16" t="s">
        <v>106</v>
      </c>
      <c r="D29" s="16" t="s">
        <v>189</v>
      </c>
      <c r="E29" s="17" t="s">
        <v>190</v>
      </c>
      <c r="F29" s="17" t="s">
        <v>147</v>
      </c>
      <c r="G29" s="17" t="s">
        <v>148</v>
      </c>
      <c r="H29" s="17" t="s">
        <v>149</v>
      </c>
      <c r="I29" s="16" t="s">
        <v>150</v>
      </c>
      <c r="J29" s="16">
        <v>20</v>
      </c>
      <c r="K29" s="16" t="s">
        <v>191</v>
      </c>
      <c r="L29" s="18" t="s">
        <v>106</v>
      </c>
      <c r="M29" s="18" t="s">
        <v>192</v>
      </c>
    </row>
    <row r="30" spans="1:13" ht="31.5" customHeight="1">
      <c r="A30" s="24" t="s">
        <v>193</v>
      </c>
      <c r="B30" s="18" t="s">
        <v>188</v>
      </c>
      <c r="C30" s="16" t="s">
        <v>106</v>
      </c>
      <c r="D30" s="16" t="s">
        <v>189</v>
      </c>
      <c r="E30" s="17" t="s">
        <v>194</v>
      </c>
      <c r="F30" s="17" t="s">
        <v>147</v>
      </c>
      <c r="G30" s="17" t="s">
        <v>148</v>
      </c>
      <c r="H30" s="17" t="s">
        <v>149</v>
      </c>
      <c r="I30" s="16" t="s">
        <v>150</v>
      </c>
      <c r="J30" s="16">
        <v>20</v>
      </c>
      <c r="K30" s="16" t="s">
        <v>195</v>
      </c>
      <c r="L30" s="18" t="s">
        <v>106</v>
      </c>
      <c r="M30" s="23" t="s">
        <v>196</v>
      </c>
    </row>
    <row r="31" spans="1:13">
      <c r="A31" s="25" t="s">
        <v>182</v>
      </c>
      <c r="B31" s="18" t="s">
        <v>188</v>
      </c>
      <c r="C31" s="16" t="s">
        <v>106</v>
      </c>
      <c r="D31" s="16" t="s">
        <v>189</v>
      </c>
      <c r="E31" s="17" t="s">
        <v>197</v>
      </c>
      <c r="F31" s="17" t="s">
        <v>141</v>
      </c>
      <c r="G31" s="17" t="s">
        <v>142</v>
      </c>
      <c r="H31" s="17" t="s">
        <v>143</v>
      </c>
      <c r="I31" s="16" t="s">
        <v>144</v>
      </c>
      <c r="J31" s="16">
        <v>10</v>
      </c>
      <c r="K31" s="16" t="s">
        <v>198</v>
      </c>
      <c r="L31" s="18" t="s">
        <v>106</v>
      </c>
      <c r="M31" s="18" t="s">
        <v>199</v>
      </c>
    </row>
    <row r="32" spans="1:13" ht="24" customHeight="1">
      <c r="A32" s="36" t="s">
        <v>55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</row>
    <row r="33" spans="1:13">
      <c r="A33" s="35" t="s">
        <v>83</v>
      </c>
      <c r="B33" s="18" t="s">
        <v>105</v>
      </c>
      <c r="C33" s="16" t="s">
        <v>106</v>
      </c>
      <c r="D33" s="16" t="s">
        <v>118</v>
      </c>
      <c r="E33" s="17" t="s">
        <v>200</v>
      </c>
      <c r="F33" s="17" t="s">
        <v>106</v>
      </c>
      <c r="G33" s="17" t="s">
        <v>201</v>
      </c>
      <c r="H33" s="17" t="s">
        <v>109</v>
      </c>
      <c r="I33" s="16" t="s">
        <v>110</v>
      </c>
      <c r="J33" s="16" t="s">
        <v>106</v>
      </c>
      <c r="K33" s="16" t="s">
        <v>202</v>
      </c>
      <c r="L33" s="18"/>
      <c r="M33" s="18" t="s">
        <v>75</v>
      </c>
    </row>
    <row r="34" spans="1:13" ht="31.5" customHeight="1">
      <c r="A34" s="35"/>
      <c r="B34" s="18" t="s">
        <v>112</v>
      </c>
      <c r="C34" s="16" t="s">
        <v>129</v>
      </c>
      <c r="D34" s="19" t="s">
        <v>114</v>
      </c>
      <c r="E34" s="17" t="s">
        <v>106</v>
      </c>
      <c r="F34" s="17" t="s">
        <v>106</v>
      </c>
      <c r="G34" s="17" t="s">
        <v>106</v>
      </c>
      <c r="H34" s="17" t="s">
        <v>106</v>
      </c>
      <c r="I34" s="16" t="s">
        <v>106</v>
      </c>
      <c r="J34" s="16" t="s">
        <v>106</v>
      </c>
      <c r="K34" s="16" t="s">
        <v>81</v>
      </c>
      <c r="L34" s="18" t="s">
        <v>115</v>
      </c>
      <c r="M34" s="18" t="s">
        <v>116</v>
      </c>
    </row>
    <row r="35" spans="1:13" ht="31.5" customHeight="1">
      <c r="A35" s="35"/>
      <c r="B35" s="18" t="s">
        <v>203</v>
      </c>
      <c r="C35" s="16" t="s">
        <v>106</v>
      </c>
      <c r="D35" s="16" t="s">
        <v>118</v>
      </c>
      <c r="E35" s="17" t="s">
        <v>84</v>
      </c>
      <c r="F35" s="17" t="s">
        <v>106</v>
      </c>
      <c r="G35" s="17" t="s">
        <v>204</v>
      </c>
      <c r="H35" s="17" t="s">
        <v>109</v>
      </c>
      <c r="I35" s="16" t="s">
        <v>110</v>
      </c>
      <c r="J35" s="16" t="s">
        <v>106</v>
      </c>
      <c r="K35" s="19" t="s">
        <v>205</v>
      </c>
      <c r="L35" s="18" t="s">
        <v>121</v>
      </c>
      <c r="M35" s="18" t="s">
        <v>122</v>
      </c>
    </row>
    <row r="36" spans="1:13">
      <c r="A36" s="35"/>
      <c r="B36" s="18" t="s">
        <v>88</v>
      </c>
      <c r="C36" s="16" t="s">
        <v>106</v>
      </c>
      <c r="D36" s="16" t="s">
        <v>106</v>
      </c>
      <c r="E36" s="17" t="s">
        <v>92</v>
      </c>
      <c r="F36" s="17" t="s">
        <v>106</v>
      </c>
      <c r="G36" s="17" t="s">
        <v>123</v>
      </c>
      <c r="H36" s="17" t="s">
        <v>109</v>
      </c>
      <c r="I36" s="16" t="s">
        <v>110</v>
      </c>
      <c r="J36" s="16" t="s">
        <v>106</v>
      </c>
      <c r="K36" s="16" t="s">
        <v>93</v>
      </c>
      <c r="L36" s="18"/>
      <c r="M36" s="18"/>
    </row>
    <row r="37" spans="1:13" ht="32.25" customHeight="1">
      <c r="A37" s="35" t="s">
        <v>81</v>
      </c>
      <c r="B37" s="18" t="s">
        <v>125</v>
      </c>
      <c r="C37" s="16" t="s">
        <v>129</v>
      </c>
      <c r="D37" s="19" t="s">
        <v>114</v>
      </c>
      <c r="E37" s="17" t="s">
        <v>106</v>
      </c>
      <c r="F37" s="17" t="s">
        <v>106</v>
      </c>
      <c r="G37" s="17" t="s">
        <v>106</v>
      </c>
      <c r="H37" s="17" t="s">
        <v>106</v>
      </c>
      <c r="I37" s="16" t="s">
        <v>106</v>
      </c>
      <c r="J37" s="16" t="s">
        <v>106</v>
      </c>
      <c r="K37" s="19" t="s">
        <v>83</v>
      </c>
      <c r="L37" s="18" t="s">
        <v>115</v>
      </c>
      <c r="M37" s="18" t="s">
        <v>116</v>
      </c>
    </row>
    <row r="38" spans="1:13" ht="32.25" customHeight="1">
      <c r="A38" s="35"/>
      <c r="B38" s="18" t="s">
        <v>203</v>
      </c>
      <c r="C38" s="16" t="s">
        <v>106</v>
      </c>
      <c r="D38" s="19" t="s">
        <v>118</v>
      </c>
      <c r="E38" s="17" t="s">
        <v>82</v>
      </c>
      <c r="F38" s="17" t="s">
        <v>106</v>
      </c>
      <c r="G38" s="17" t="s">
        <v>204</v>
      </c>
      <c r="H38" s="17" t="s">
        <v>109</v>
      </c>
      <c r="I38" s="16" t="s">
        <v>110</v>
      </c>
      <c r="J38" s="16" t="s">
        <v>106</v>
      </c>
      <c r="K38" s="16" t="s">
        <v>206</v>
      </c>
      <c r="L38" s="18" t="s">
        <v>121</v>
      </c>
      <c r="M38" s="18" t="s">
        <v>122</v>
      </c>
    </row>
    <row r="39" spans="1:13">
      <c r="A39" s="35"/>
      <c r="B39" s="18" t="s">
        <v>207</v>
      </c>
      <c r="C39" s="16" t="s">
        <v>106</v>
      </c>
      <c r="D39" s="16" t="s">
        <v>136</v>
      </c>
      <c r="E39" s="17" t="s">
        <v>106</v>
      </c>
      <c r="F39" s="17" t="s">
        <v>106</v>
      </c>
      <c r="G39" s="17" t="s">
        <v>106</v>
      </c>
      <c r="H39" s="17" t="s">
        <v>106</v>
      </c>
      <c r="I39" s="16" t="s">
        <v>106</v>
      </c>
      <c r="J39" s="16">
        <v>10</v>
      </c>
      <c r="K39" s="16" t="s">
        <v>208</v>
      </c>
      <c r="L39" s="18" t="s">
        <v>209</v>
      </c>
      <c r="M39" s="18" t="s">
        <v>184</v>
      </c>
    </row>
    <row r="40" spans="1:13">
      <c r="A40" s="35"/>
      <c r="B40" s="18" t="s">
        <v>139</v>
      </c>
      <c r="C40" s="16" t="s">
        <v>106</v>
      </c>
      <c r="D40" s="16" t="s">
        <v>140</v>
      </c>
      <c r="E40" s="17" t="s">
        <v>210</v>
      </c>
      <c r="F40" s="17" t="s">
        <v>106</v>
      </c>
      <c r="G40" s="17" t="s">
        <v>211</v>
      </c>
      <c r="H40" s="17" t="s">
        <v>163</v>
      </c>
      <c r="I40" s="16" t="s">
        <v>164</v>
      </c>
      <c r="J40" s="16">
        <v>10</v>
      </c>
      <c r="K40" s="16" t="s">
        <v>106</v>
      </c>
      <c r="L40" s="18" t="s">
        <v>106</v>
      </c>
      <c r="M40" s="18" t="s">
        <v>145</v>
      </c>
    </row>
    <row r="41" spans="1:13">
      <c r="A41" s="35"/>
      <c r="B41" s="18" t="s">
        <v>146</v>
      </c>
      <c r="C41" s="16" t="s">
        <v>106</v>
      </c>
      <c r="D41" s="16" t="s">
        <v>140</v>
      </c>
      <c r="E41" s="17" t="s">
        <v>212</v>
      </c>
      <c r="F41" s="17" t="s">
        <v>106</v>
      </c>
      <c r="G41" s="17" t="s">
        <v>213</v>
      </c>
      <c r="H41" s="17" t="s">
        <v>214</v>
      </c>
      <c r="I41" s="16" t="s">
        <v>215</v>
      </c>
      <c r="J41" s="16">
        <v>20</v>
      </c>
      <c r="K41" s="16" t="s">
        <v>106</v>
      </c>
      <c r="L41" s="18" t="s">
        <v>106</v>
      </c>
      <c r="M41" s="18" t="s">
        <v>151</v>
      </c>
    </row>
    <row r="42" spans="1:13">
      <c r="A42" s="35"/>
      <c r="B42" s="18" t="s">
        <v>152</v>
      </c>
      <c r="C42" s="16" t="s">
        <v>106</v>
      </c>
      <c r="D42" s="16" t="s">
        <v>140</v>
      </c>
      <c r="E42" s="17" t="s">
        <v>216</v>
      </c>
      <c r="F42" s="17" t="s">
        <v>106</v>
      </c>
      <c r="G42" s="17" t="s">
        <v>217</v>
      </c>
      <c r="H42" s="17" t="s">
        <v>163</v>
      </c>
      <c r="I42" s="16" t="s">
        <v>164</v>
      </c>
      <c r="J42" s="16">
        <v>30</v>
      </c>
      <c r="K42" s="16" t="s">
        <v>106</v>
      </c>
      <c r="L42" s="18" t="s">
        <v>106</v>
      </c>
      <c r="M42" s="18" t="s">
        <v>155</v>
      </c>
    </row>
    <row r="43" spans="1:13">
      <c r="A43" s="35"/>
      <c r="B43" s="18" t="s">
        <v>156</v>
      </c>
      <c r="C43" s="16" t="s">
        <v>106</v>
      </c>
      <c r="D43" s="16" t="s">
        <v>140</v>
      </c>
      <c r="E43" s="17" t="s">
        <v>218</v>
      </c>
      <c r="F43" s="17" t="s">
        <v>106</v>
      </c>
      <c r="G43" s="17" t="s">
        <v>219</v>
      </c>
      <c r="H43" s="17" t="s">
        <v>163</v>
      </c>
      <c r="I43" s="16" t="s">
        <v>164</v>
      </c>
      <c r="J43" s="16">
        <v>40</v>
      </c>
      <c r="K43" s="16" t="s">
        <v>106</v>
      </c>
      <c r="L43" s="18" t="s">
        <v>106</v>
      </c>
      <c r="M43" s="18" t="s">
        <v>159</v>
      </c>
    </row>
    <row r="44" spans="1:13">
      <c r="A44" s="35"/>
      <c r="B44" s="18" t="s">
        <v>160</v>
      </c>
      <c r="C44" s="16" t="s">
        <v>106</v>
      </c>
      <c r="D44" s="16" t="s">
        <v>140</v>
      </c>
      <c r="E44" s="17" t="s">
        <v>220</v>
      </c>
      <c r="F44" s="17" t="s">
        <v>106</v>
      </c>
      <c r="G44" s="17" t="s">
        <v>221</v>
      </c>
      <c r="H44" s="17" t="s">
        <v>222</v>
      </c>
      <c r="I44" s="16" t="s">
        <v>223</v>
      </c>
      <c r="J44" s="16">
        <v>50</v>
      </c>
      <c r="K44" s="16" t="s">
        <v>106</v>
      </c>
      <c r="L44" s="18" t="s">
        <v>106</v>
      </c>
      <c r="M44" s="18" t="s">
        <v>165</v>
      </c>
    </row>
    <row r="45" spans="1:13">
      <c r="A45" s="35"/>
      <c r="B45" s="18" t="s">
        <v>166</v>
      </c>
      <c r="C45" s="16" t="s">
        <v>106</v>
      </c>
      <c r="D45" s="16" t="s">
        <v>140</v>
      </c>
      <c r="E45" s="17" t="s">
        <v>224</v>
      </c>
      <c r="F45" s="17" t="s">
        <v>106</v>
      </c>
      <c r="G45" s="17" t="s">
        <v>225</v>
      </c>
      <c r="H45" s="17" t="s">
        <v>177</v>
      </c>
      <c r="I45" s="16" t="s">
        <v>178</v>
      </c>
      <c r="J45" s="16">
        <v>60</v>
      </c>
      <c r="K45" s="16" t="s">
        <v>106</v>
      </c>
      <c r="L45" s="18" t="s">
        <v>106</v>
      </c>
      <c r="M45" s="18" t="s">
        <v>169</v>
      </c>
    </row>
    <row r="46" spans="1:13">
      <c r="A46" s="35"/>
      <c r="B46" s="18" t="s">
        <v>170</v>
      </c>
      <c r="C46" s="16" t="s">
        <v>106</v>
      </c>
      <c r="D46" s="16" t="s">
        <v>140</v>
      </c>
      <c r="E46" s="17" t="s">
        <v>226</v>
      </c>
      <c r="F46" s="17" t="s">
        <v>106</v>
      </c>
      <c r="G46" s="17" t="s">
        <v>227</v>
      </c>
      <c r="H46" s="17" t="s">
        <v>214</v>
      </c>
      <c r="I46" s="16" t="s">
        <v>215</v>
      </c>
      <c r="J46" s="16">
        <v>70</v>
      </c>
      <c r="K46" s="16" t="s">
        <v>106</v>
      </c>
      <c r="L46" s="18" t="s">
        <v>106</v>
      </c>
      <c r="M46" s="18" t="s">
        <v>173</v>
      </c>
    </row>
    <row r="47" spans="1:13">
      <c r="A47" s="35"/>
      <c r="B47" s="18" t="s">
        <v>174</v>
      </c>
      <c r="C47" s="16" t="s">
        <v>106</v>
      </c>
      <c r="D47" s="16" t="s">
        <v>140</v>
      </c>
      <c r="E47" s="17" t="s">
        <v>228</v>
      </c>
      <c r="F47" s="17" t="s">
        <v>106</v>
      </c>
      <c r="G47" s="17" t="s">
        <v>229</v>
      </c>
      <c r="H47" s="17" t="s">
        <v>177</v>
      </c>
      <c r="I47" s="16" t="s">
        <v>178</v>
      </c>
      <c r="J47" s="16">
        <v>99</v>
      </c>
      <c r="K47" s="16" t="s">
        <v>106</v>
      </c>
      <c r="L47" s="18" t="s">
        <v>106</v>
      </c>
      <c r="M47" s="18" t="s">
        <v>179</v>
      </c>
    </row>
    <row r="48" spans="1:13">
      <c r="A48" s="14" t="s">
        <v>208</v>
      </c>
      <c r="B48" s="18" t="s">
        <v>188</v>
      </c>
      <c r="C48" s="16" t="s">
        <v>106</v>
      </c>
      <c r="D48" s="16" t="s">
        <v>189</v>
      </c>
      <c r="E48" s="17" t="s">
        <v>197</v>
      </c>
      <c r="F48" s="17" t="s">
        <v>210</v>
      </c>
      <c r="G48" s="17" t="s">
        <v>211</v>
      </c>
      <c r="H48" s="17" t="s">
        <v>163</v>
      </c>
      <c r="I48" s="16" t="s">
        <v>164</v>
      </c>
      <c r="J48" s="16">
        <v>10</v>
      </c>
      <c r="K48" s="16" t="s">
        <v>230</v>
      </c>
      <c r="L48" s="18" t="s">
        <v>106</v>
      </c>
      <c r="M48" s="18" t="s">
        <v>199</v>
      </c>
    </row>
    <row r="49" spans="1:13" ht="24" customHeight="1">
      <c r="A49" s="36" t="s">
        <v>77</v>
      </c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</row>
    <row r="50" spans="1:13">
      <c r="A50" s="35" t="s">
        <v>77</v>
      </c>
      <c r="B50" s="18" t="s">
        <v>105</v>
      </c>
      <c r="C50" s="16" t="s">
        <v>106</v>
      </c>
      <c r="D50" s="16" t="s">
        <v>118</v>
      </c>
      <c r="E50" s="17" t="s">
        <v>231</v>
      </c>
      <c r="F50" s="17" t="s">
        <v>106</v>
      </c>
      <c r="G50" s="17" t="s">
        <v>108</v>
      </c>
      <c r="H50" s="17" t="s">
        <v>109</v>
      </c>
      <c r="I50" s="16" t="s">
        <v>110</v>
      </c>
      <c r="J50" s="16" t="s">
        <v>106</v>
      </c>
      <c r="K50" s="16" t="s">
        <v>232</v>
      </c>
      <c r="L50" s="18" t="s">
        <v>106</v>
      </c>
      <c r="M50" s="20" t="s">
        <v>233</v>
      </c>
    </row>
    <row r="51" spans="1:13">
      <c r="A51" s="35"/>
      <c r="B51" s="18" t="s">
        <v>234</v>
      </c>
      <c r="C51" s="16" t="s">
        <v>106</v>
      </c>
      <c r="D51" s="16" t="s">
        <v>118</v>
      </c>
      <c r="E51" s="17" t="s">
        <v>235</v>
      </c>
      <c r="F51" s="17" t="s">
        <v>106</v>
      </c>
      <c r="G51" s="17" t="s">
        <v>201</v>
      </c>
      <c r="H51" s="17" t="s">
        <v>109</v>
      </c>
      <c r="I51" s="16" t="s">
        <v>110</v>
      </c>
      <c r="J51" s="16" t="s">
        <v>106</v>
      </c>
      <c r="K51" s="16" t="s">
        <v>236</v>
      </c>
      <c r="L51" s="18" t="s">
        <v>106</v>
      </c>
      <c r="M51" s="18" t="s">
        <v>237</v>
      </c>
    </row>
    <row r="52" spans="1:13">
      <c r="A52" s="35"/>
      <c r="B52" s="18" t="s">
        <v>238</v>
      </c>
      <c r="C52" s="16" t="s">
        <v>106</v>
      </c>
      <c r="D52" s="16" t="s">
        <v>239</v>
      </c>
      <c r="E52" s="17" t="s">
        <v>240</v>
      </c>
      <c r="F52" s="17"/>
      <c r="G52" s="17" t="s">
        <v>240</v>
      </c>
      <c r="H52" s="17" t="s">
        <v>241</v>
      </c>
      <c r="I52" s="16" t="s">
        <v>242</v>
      </c>
      <c r="J52" s="16" t="s">
        <v>106</v>
      </c>
      <c r="K52" s="16" t="s">
        <v>106</v>
      </c>
      <c r="L52" s="18" t="s">
        <v>106</v>
      </c>
      <c r="M52" s="18" t="s">
        <v>243</v>
      </c>
    </row>
  </sheetData>
  <mergeCells count="9">
    <mergeCell ref="A2:M2"/>
    <mergeCell ref="A3:A6"/>
    <mergeCell ref="A7:A24"/>
    <mergeCell ref="A32:M32"/>
    <mergeCell ref="A50:A52"/>
    <mergeCell ref="A33:A36"/>
    <mergeCell ref="A37:A47"/>
    <mergeCell ref="A49:M49"/>
    <mergeCell ref="A25:A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40890-8781-49C6-90A2-7FF848E8B02E}">
  <dimension ref="A1:W41"/>
  <sheetViews>
    <sheetView workbookViewId="0">
      <selection activeCell="A17" sqref="A17"/>
    </sheetView>
  </sheetViews>
  <sheetFormatPr defaultRowHeight="15"/>
  <cols>
    <col min="3" max="3" width="9.140625" style="30"/>
    <col min="4" max="4" width="9.140625" style="11"/>
    <col min="5" max="5" width="38.140625" customWidth="1"/>
  </cols>
  <sheetData>
    <row r="1" spans="1:17" ht="24">
      <c r="A1" s="34" t="s">
        <v>32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29"/>
      <c r="P1" s="29"/>
      <c r="Q1" s="29"/>
    </row>
    <row r="2" spans="1:17" ht="29.25">
      <c r="A2" s="78" t="s">
        <v>71</v>
      </c>
      <c r="B2" s="76" t="s">
        <v>244</v>
      </c>
      <c r="C2" s="72" t="s">
        <v>245</v>
      </c>
      <c r="D2" s="11" t="s">
        <v>246</v>
      </c>
      <c r="E2" s="8" t="s">
        <v>247</v>
      </c>
    </row>
    <row r="3" spans="1:17" ht="29.25">
      <c r="A3" s="79"/>
      <c r="B3" s="77"/>
      <c r="C3" s="73"/>
      <c r="D3" s="11" t="s">
        <v>248</v>
      </c>
      <c r="E3" s="8" t="s">
        <v>247</v>
      </c>
    </row>
    <row r="4" spans="1:17">
      <c r="A4" s="79"/>
      <c r="B4" s="77"/>
    </row>
    <row r="5" spans="1:17">
      <c r="A5" s="79"/>
      <c r="B5" s="77"/>
    </row>
    <row r="6" spans="1:17">
      <c r="A6" s="79"/>
      <c r="B6" s="75" t="s">
        <v>249</v>
      </c>
      <c r="C6" s="30" t="s">
        <v>250</v>
      </c>
      <c r="D6" s="11" t="s">
        <v>251</v>
      </c>
    </row>
    <row r="7" spans="1:17">
      <c r="A7" s="79"/>
      <c r="B7" s="75"/>
      <c r="C7" s="30" t="s">
        <v>252</v>
      </c>
      <c r="D7" s="11">
        <v>0</v>
      </c>
    </row>
    <row r="8" spans="1:17">
      <c r="A8" s="79"/>
      <c r="B8" s="75"/>
    </row>
    <row r="9" spans="1:17">
      <c r="A9" s="79"/>
      <c r="B9" s="75"/>
    </row>
    <row r="10" spans="1:17">
      <c r="A10" s="79"/>
      <c r="B10" s="75"/>
    </row>
    <row r="11" spans="1:17">
      <c r="A11" s="79" t="s">
        <v>69</v>
      </c>
      <c r="B11" s="74" t="s">
        <v>249</v>
      </c>
      <c r="C11" s="30" t="s">
        <v>250</v>
      </c>
      <c r="D11" s="11" t="s">
        <v>253</v>
      </c>
    </row>
    <row r="12" spans="1:17">
      <c r="A12" s="79"/>
      <c r="B12" s="74"/>
      <c r="C12" s="30" t="s">
        <v>252</v>
      </c>
      <c r="D12" s="11">
        <v>0</v>
      </c>
    </row>
    <row r="13" spans="1:17">
      <c r="A13" s="79"/>
      <c r="B13" s="74"/>
    </row>
    <row r="14" spans="1:17">
      <c r="A14" s="79"/>
    </row>
    <row r="15" spans="1:17">
      <c r="A15" s="79"/>
    </row>
    <row r="16" spans="1:17">
      <c r="A16" t="s">
        <v>254</v>
      </c>
    </row>
    <row r="18" spans="1:14" ht="24">
      <c r="A18" s="36" t="s">
        <v>55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</row>
    <row r="19" spans="1:14" ht="29.25">
      <c r="A19" s="78" t="s">
        <v>83</v>
      </c>
      <c r="B19" s="80" t="s">
        <v>244</v>
      </c>
      <c r="C19" s="72" t="s">
        <v>245</v>
      </c>
      <c r="D19" s="11" t="s">
        <v>246</v>
      </c>
      <c r="E19" s="8" t="s">
        <v>247</v>
      </c>
    </row>
    <row r="20" spans="1:14" ht="29.25">
      <c r="A20" s="79"/>
      <c r="B20" s="75"/>
      <c r="C20" s="73"/>
      <c r="D20" s="11" t="s">
        <v>248</v>
      </c>
      <c r="E20" s="8" t="s">
        <v>247</v>
      </c>
    </row>
    <row r="21" spans="1:14">
      <c r="A21" s="79"/>
      <c r="B21" s="75"/>
    </row>
    <row r="22" spans="1:14">
      <c r="A22" s="79"/>
      <c r="B22" s="75"/>
    </row>
    <row r="23" spans="1:14">
      <c r="A23" s="79"/>
      <c r="B23" s="75" t="s">
        <v>249</v>
      </c>
      <c r="C23" s="30" t="s">
        <v>250</v>
      </c>
      <c r="D23" s="11" t="s">
        <v>255</v>
      </c>
    </row>
    <row r="24" spans="1:14">
      <c r="A24" s="79"/>
      <c r="B24" s="75"/>
      <c r="C24" s="30" t="s">
        <v>252</v>
      </c>
      <c r="D24" s="11">
        <v>0</v>
      </c>
    </row>
    <row r="25" spans="1:14">
      <c r="A25" s="79"/>
      <c r="B25" s="75"/>
    </row>
    <row r="26" spans="1:14">
      <c r="A26" s="79"/>
      <c r="B26" s="75"/>
    </row>
    <row r="27" spans="1:14">
      <c r="A27" s="79"/>
      <c r="B27" s="75"/>
    </row>
    <row r="28" spans="1:14">
      <c r="A28" s="79" t="s">
        <v>81</v>
      </c>
      <c r="B28" s="75" t="s">
        <v>249</v>
      </c>
      <c r="C28" s="30" t="s">
        <v>250</v>
      </c>
      <c r="D28" s="11" t="s">
        <v>256</v>
      </c>
    </row>
    <row r="29" spans="1:14">
      <c r="A29" s="79"/>
      <c r="B29" s="75"/>
      <c r="C29" s="30" t="s">
        <v>252</v>
      </c>
      <c r="D29" s="11">
        <v>0</v>
      </c>
    </row>
    <row r="30" spans="1:14">
      <c r="A30" s="79"/>
      <c r="B30" s="75"/>
    </row>
    <row r="31" spans="1:14">
      <c r="A31" s="79"/>
    </row>
    <row r="32" spans="1:14">
      <c r="A32" s="79"/>
    </row>
    <row r="36" spans="1:23" ht="15" customHeight="1">
      <c r="A36" s="81" t="s">
        <v>257</v>
      </c>
      <c r="B36" s="71" t="s">
        <v>258</v>
      </c>
      <c r="C36" s="71"/>
      <c r="D36" s="71"/>
      <c r="E36" s="71"/>
      <c r="F36" s="71"/>
      <c r="G36" s="71"/>
      <c r="H36" s="71"/>
      <c r="I36" s="71" t="s">
        <v>259</v>
      </c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</row>
    <row r="37" spans="1:23" ht="15" customHeight="1">
      <c r="A37" s="81"/>
      <c r="B37" s="71" t="s">
        <v>260</v>
      </c>
      <c r="C37" s="71"/>
      <c r="D37" s="71"/>
      <c r="E37" s="71"/>
      <c r="F37" s="71"/>
      <c r="G37" s="71"/>
      <c r="H37" s="71"/>
      <c r="I37" s="71" t="s">
        <v>261</v>
      </c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</row>
    <row r="38" spans="1:23" ht="15" customHeight="1">
      <c r="A38" s="81"/>
      <c r="B38" s="71" t="s">
        <v>262</v>
      </c>
      <c r="C38" s="71"/>
      <c r="D38" s="71"/>
      <c r="E38" s="71"/>
      <c r="F38" s="71"/>
      <c r="G38" s="71"/>
      <c r="H38" s="71"/>
      <c r="I38" s="71" t="s">
        <v>263</v>
      </c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</row>
    <row r="39" spans="1:23" ht="15" customHeight="1">
      <c r="A39" s="81"/>
      <c r="B39" s="71" t="s">
        <v>264</v>
      </c>
      <c r="C39" s="71"/>
      <c r="D39" s="71"/>
      <c r="E39" s="71"/>
      <c r="F39" s="71"/>
      <c r="G39" s="71"/>
      <c r="H39" s="71"/>
      <c r="I39" s="71" t="s">
        <v>265</v>
      </c>
      <c r="J39" s="71"/>
      <c r="K39" s="71"/>
      <c r="L39" s="71"/>
      <c r="M39" s="71"/>
      <c r="N39" s="71"/>
      <c r="O39" s="71"/>
      <c r="P39" s="71"/>
      <c r="Q39" s="71"/>
      <c r="R39" s="71"/>
      <c r="S39" s="71" t="s">
        <v>266</v>
      </c>
      <c r="T39" s="71"/>
      <c r="U39" s="71" t="s">
        <v>267</v>
      </c>
      <c r="V39" s="71"/>
      <c r="W39" s="71"/>
    </row>
    <row r="40" spans="1:23">
      <c r="A40" s="81"/>
      <c r="B40" s="71" t="s">
        <v>268</v>
      </c>
      <c r="C40" s="71"/>
      <c r="D40" s="71"/>
      <c r="E40" s="71"/>
      <c r="F40" s="71"/>
      <c r="G40" s="71"/>
      <c r="H40" s="71"/>
      <c r="I40" s="71" t="s">
        <v>269</v>
      </c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</row>
    <row r="41" spans="1:23">
      <c r="A41" s="8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</row>
  </sheetData>
  <mergeCells count="29">
    <mergeCell ref="B41:H41"/>
    <mergeCell ref="A1:N1"/>
    <mergeCell ref="A18:N18"/>
    <mergeCell ref="B2:B5"/>
    <mergeCell ref="A2:A10"/>
    <mergeCell ref="A19:A27"/>
    <mergeCell ref="B19:B22"/>
    <mergeCell ref="B6:B10"/>
    <mergeCell ref="B23:B27"/>
    <mergeCell ref="A36:A41"/>
    <mergeCell ref="I39:R39"/>
    <mergeCell ref="A11:A15"/>
    <mergeCell ref="A28:A32"/>
    <mergeCell ref="S39:T39"/>
    <mergeCell ref="U39:W39"/>
    <mergeCell ref="C2:C3"/>
    <mergeCell ref="C19:C20"/>
    <mergeCell ref="I41:Q41"/>
    <mergeCell ref="I38:V38"/>
    <mergeCell ref="I37:V37"/>
    <mergeCell ref="I36:V36"/>
    <mergeCell ref="I40:V40"/>
    <mergeCell ref="B36:H36"/>
    <mergeCell ref="B37:H37"/>
    <mergeCell ref="B38:H38"/>
    <mergeCell ref="B39:H39"/>
    <mergeCell ref="B40:H40"/>
    <mergeCell ref="B11:B13"/>
    <mergeCell ref="B28:B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F97A-661B-43E5-96D3-DF499457B31B}">
  <dimension ref="A1:H10"/>
  <sheetViews>
    <sheetView workbookViewId="0">
      <selection activeCell="B6" sqref="B6"/>
    </sheetView>
  </sheetViews>
  <sheetFormatPr defaultRowHeight="15"/>
  <cols>
    <col min="1" max="3" width="22.140625" customWidth="1"/>
    <col min="4" max="4" width="33.5703125" customWidth="1"/>
  </cols>
  <sheetData>
    <row r="1" spans="1:8">
      <c r="A1" s="82" t="s">
        <v>270</v>
      </c>
      <c r="B1" s="82"/>
      <c r="C1" s="82"/>
      <c r="D1" s="82"/>
      <c r="E1" s="82"/>
      <c r="F1" s="82"/>
      <c r="G1" s="82"/>
      <c r="H1" s="82"/>
    </row>
    <row r="2" spans="1:8" s="31" customFormat="1" ht="27.75" customHeight="1">
      <c r="A2" s="32" t="s">
        <v>271</v>
      </c>
      <c r="B2" s="32" t="s">
        <v>272</v>
      </c>
      <c r="C2" s="32" t="s">
        <v>273</v>
      </c>
      <c r="D2" s="32" t="s">
        <v>65</v>
      </c>
    </row>
    <row r="3" spans="1:8" s="31" customFormat="1" ht="27.75" customHeight="1">
      <c r="A3" s="31" t="s">
        <v>274</v>
      </c>
      <c r="B3" s="31" t="s">
        <v>275</v>
      </c>
      <c r="C3" s="31" t="s">
        <v>276</v>
      </c>
      <c r="D3" s="31" t="s">
        <v>277</v>
      </c>
    </row>
    <row r="4" spans="1:8" s="31" customFormat="1" ht="27.75" customHeight="1">
      <c r="A4" s="31" t="s">
        <v>278</v>
      </c>
      <c r="B4" s="31" t="s">
        <v>279</v>
      </c>
      <c r="C4" s="31" t="s">
        <v>280</v>
      </c>
      <c r="D4" s="31" t="s">
        <v>281</v>
      </c>
    </row>
    <row r="5" spans="1:8" s="31" customFormat="1" ht="27.75" customHeight="1">
      <c r="A5" s="31" t="s">
        <v>282</v>
      </c>
      <c r="B5" s="31" t="s">
        <v>283</v>
      </c>
      <c r="C5" s="31" t="s">
        <v>284</v>
      </c>
      <c r="D5" s="31" t="s">
        <v>285</v>
      </c>
    </row>
    <row r="6" spans="1:8" s="31" customFormat="1" ht="27.75" customHeight="1">
      <c r="A6" s="31" t="s">
        <v>286</v>
      </c>
      <c r="B6" s="31" t="s">
        <v>287</v>
      </c>
      <c r="C6" s="31" t="s">
        <v>283</v>
      </c>
      <c r="D6" s="31" t="s">
        <v>288</v>
      </c>
    </row>
    <row r="7" spans="1:8" s="31" customFormat="1" ht="27.75" customHeight="1">
      <c r="A7" s="31" t="s">
        <v>289</v>
      </c>
      <c r="B7" s="32" t="s">
        <v>290</v>
      </c>
      <c r="C7" s="32" t="s">
        <v>290</v>
      </c>
      <c r="D7" s="31" t="s">
        <v>291</v>
      </c>
    </row>
    <row r="8" spans="1:8" s="31" customFormat="1" ht="27.75" customHeight="1">
      <c r="A8" s="31" t="s">
        <v>292</v>
      </c>
      <c r="B8" s="31" t="s">
        <v>279</v>
      </c>
      <c r="C8" s="31" t="s">
        <v>293</v>
      </c>
      <c r="D8" s="31" t="s">
        <v>294</v>
      </c>
    </row>
    <row r="9" spans="1:8" s="31" customFormat="1" ht="27.75" customHeight="1">
      <c r="A9" s="31" t="s">
        <v>295</v>
      </c>
      <c r="B9" s="32" t="s">
        <v>290</v>
      </c>
      <c r="C9" s="32" t="s">
        <v>290</v>
      </c>
      <c r="D9" s="31" t="s">
        <v>291</v>
      </c>
    </row>
    <row r="10" spans="1:8" s="31" customFormat="1" ht="27.75" customHeight="1">
      <c r="A10" s="31" t="s">
        <v>296</v>
      </c>
      <c r="B10" s="31" t="s">
        <v>297</v>
      </c>
      <c r="C10" s="31" t="s">
        <v>298</v>
      </c>
      <c r="D10" s="31" t="s">
        <v>299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7386-13DD-4251-9E59-FF5A1168506A}">
  <dimension ref="A1:E12"/>
  <sheetViews>
    <sheetView workbookViewId="0">
      <selection activeCell="C3" sqref="C3"/>
    </sheetView>
  </sheetViews>
  <sheetFormatPr defaultRowHeight="15"/>
  <cols>
    <col min="1" max="1" width="7" customWidth="1"/>
    <col min="2" max="5" width="21.85546875" customWidth="1"/>
  </cols>
  <sheetData>
    <row r="1" spans="1:5">
      <c r="A1" s="33"/>
      <c r="B1" s="33" t="s">
        <v>300</v>
      </c>
      <c r="C1" s="33" t="s">
        <v>301</v>
      </c>
      <c r="D1" s="33" t="s">
        <v>302</v>
      </c>
      <c r="E1" s="33" t="s">
        <v>303</v>
      </c>
    </row>
    <row r="2" spans="1:5" ht="57.75">
      <c r="A2" s="8">
        <v>1</v>
      </c>
      <c r="B2" s="33" t="s">
        <v>304</v>
      </c>
      <c r="C2" s="8" t="s">
        <v>305</v>
      </c>
      <c r="D2" s="8"/>
      <c r="E2" s="8"/>
    </row>
    <row r="3" spans="1:5" ht="29.25">
      <c r="A3" s="8">
        <v>2</v>
      </c>
      <c r="B3" s="33" t="s">
        <v>306</v>
      </c>
      <c r="D3" s="8"/>
      <c r="E3" s="8"/>
    </row>
    <row r="4" spans="1:5" ht="29.25">
      <c r="A4" s="8">
        <v>3</v>
      </c>
      <c r="B4" s="33" t="s">
        <v>307</v>
      </c>
      <c r="D4" s="8"/>
      <c r="E4" s="8"/>
    </row>
    <row r="5" spans="1:5" ht="29.25">
      <c r="A5" s="8">
        <v>4</v>
      </c>
      <c r="B5" s="33" t="s">
        <v>308</v>
      </c>
      <c r="C5" s="8"/>
      <c r="D5" s="8"/>
      <c r="E5" s="8"/>
    </row>
    <row r="6" spans="1:5" ht="29.25">
      <c r="A6" s="8">
        <v>5</v>
      </c>
      <c r="B6" s="33" t="s">
        <v>309</v>
      </c>
      <c r="C6" s="8"/>
      <c r="D6" s="8"/>
      <c r="E6" s="8"/>
    </row>
    <row r="7" spans="1:5" ht="29.25">
      <c r="A7" s="8">
        <v>6</v>
      </c>
      <c r="B7" s="33" t="s">
        <v>310</v>
      </c>
      <c r="C7" s="8"/>
      <c r="D7" s="8"/>
      <c r="E7" s="8"/>
    </row>
    <row r="8" spans="1:5">
      <c r="A8" s="8">
        <v>7</v>
      </c>
      <c r="B8" s="33" t="s">
        <v>311</v>
      </c>
      <c r="C8" s="8"/>
      <c r="D8" s="8"/>
      <c r="E8" s="8"/>
    </row>
    <row r="9" spans="1:5">
      <c r="A9" s="8">
        <v>8</v>
      </c>
      <c r="B9" s="33" t="s">
        <v>312</v>
      </c>
      <c r="C9" s="8"/>
      <c r="D9" s="8"/>
      <c r="E9" s="8"/>
    </row>
    <row r="10" spans="1:5" ht="29.25">
      <c r="A10" s="8">
        <v>9</v>
      </c>
      <c r="B10" s="33" t="s">
        <v>313</v>
      </c>
      <c r="C10" s="8"/>
      <c r="D10" s="8"/>
      <c r="E10" s="8"/>
    </row>
    <row r="11" spans="1:5">
      <c r="A11" s="8">
        <v>10</v>
      </c>
      <c r="B11" s="33" t="s">
        <v>314</v>
      </c>
      <c r="C11" s="8"/>
      <c r="D11" s="8"/>
      <c r="E11" s="8"/>
    </row>
    <row r="12" spans="1:5">
      <c r="A12" s="8"/>
      <c r="B12" s="8"/>
      <c r="C12" s="8"/>
      <c r="D12" s="8"/>
      <c r="E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2026-08-07T16:05:58Z</dcterms:created>
  <dcterms:modified xsi:type="dcterms:W3CDTF">2026-09-24T08:41:01Z</dcterms:modified>
  <cp:category/>
  <cp:contentStatus/>
</cp:coreProperties>
</file>